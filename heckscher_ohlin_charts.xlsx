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ual-Axis Chart" sheetId="2" state="visible" r:id="rId2"/>
    <sheet xmlns:r="http://schemas.openxmlformats.org/officeDocument/2006/relationships" name="Regression Plot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U.S. Capital Deepening and Capital-Labor Ratio (1960-Present)</a:t>
            </a:r>
          </a:p>
          <a:p xmlns:a="http://schemas.openxmlformats.org/drawingml/2006/main">
            <a:pPr>
              <a:defRPr/>
            </a:pPr>
            <a:r>
              <a:t>Normalized to 0-100 Scale for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'Dual-Axis Chart'!B1</f>
            </strRef>
          </tx>
          <spPr>
            <a:ln xmlns:a="http://schemas.openxmlformats.org/drawingml/2006/main" w="30000">
              <a:solidFill>
                <a:srgbClr val="1F77B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cat>
            <numRef>
              <f>'Dual-Axis Chart'!$A$2:$A$67</f>
            </numRef>
          </cat>
          <val>
            <numRef>
              <f>'Dual-Axis Chart'!$B$2:$B$67</f>
            </numRef>
          </val>
        </ser>
        <ser>
          <idx val="1"/>
          <order val="1"/>
          <tx>
            <strRef>
              <f>'Dual-Axis Chart'!C1</f>
            </strRef>
          </tx>
          <spPr>
            <a:ln xmlns:a="http://schemas.openxmlformats.org/drawingml/2006/main" w="30000">
              <a:solidFill>
                <a:srgbClr val="D62728"/>
              </a:solidFill>
              <a:prstDash val="solid"/>
            </a:ln>
          </spPr>
          <marker>
            <symbol val="square"/>
            <size val="6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solidFill>
                  <a:srgbClr val="D62728"/>
                </a:solidFill>
                <a:prstDash val="solid"/>
              </a:ln>
            </spPr>
          </marker>
          <cat>
            <numRef>
              <f>'Dual-Axis Chart'!$A$2:$A$67</f>
            </numRef>
          </cat>
          <val>
            <numRef>
              <f>'Dual-Axis Chart'!$C$2:$C$67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Index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Regression: Real Exports vs Capital-Labor Ratio</a:t>
            </a:r>
          </a:p>
        </rich>
      </tx>
    </title>
    <plotArea>
      <scatterChart>
        <ser>
          <idx val="0"/>
          <order val="0"/>
          <tx>
            <v>Observed Data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'Regression Plot'!$A$2:$A$67</f>
            </numRef>
          </xVal>
          <yVal>
            <numRef>
              <f>'Regression Plot'!$B$2:$B$67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Capital-Labor Ratio ($ per Worker)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Real Exports (Billions of Chained 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15" customWidth="1" min="5" max="5"/>
    <col width="22" customWidth="1" min="6" max="6"/>
    <col width="20" customWidth="1" min="7" max="7"/>
  </cols>
  <sheetData>
    <row r="1">
      <c r="A1" s="1" t="inlineStr">
        <is>
          <t>Year</t>
        </is>
      </c>
      <c r="B1" s="1" t="inlineStr">
        <is>
          <t>Real_GDP</t>
        </is>
      </c>
      <c r="C1" s="1" t="inlineStr">
        <is>
          <t>Labor_Force</t>
        </is>
      </c>
      <c r="D1" s="1" t="inlineStr">
        <is>
          <t>Real_Investment</t>
        </is>
      </c>
      <c r="E1" s="1" t="inlineStr">
        <is>
          <t>Real_Exports</t>
        </is>
      </c>
      <c r="F1" s="1" t="inlineStr">
        <is>
          <t>Capital_Deepening_Pct</t>
        </is>
      </c>
      <c r="G1" s="1" t="inlineStr">
        <is>
          <t>Capital_Labor_Ratio</t>
        </is>
      </c>
    </row>
    <row r="2">
      <c r="A2" s="2" t="n">
        <v>1960</v>
      </c>
      <c r="B2" s="3" t="n">
        <v>3500.273</v>
      </c>
      <c r="C2" s="3" t="n">
        <v>69659</v>
      </c>
      <c r="D2" s="3" t="n">
        <v>367.507</v>
      </c>
      <c r="E2" s="3" t="n">
        <v>108.258</v>
      </c>
      <c r="F2" s="3" t="n">
        <v>10.49938104827823</v>
      </c>
      <c r="G2" s="3" t="n">
        <v>5275.800686199917</v>
      </c>
    </row>
    <row r="3">
      <c r="A3" s="2" t="n">
        <v>1961</v>
      </c>
      <c r="B3" s="3" t="n">
        <v>3590.066</v>
      </c>
      <c r="C3" s="3" t="n">
        <v>70450</v>
      </c>
      <c r="D3" s="3" t="n">
        <v>368.683</v>
      </c>
      <c r="E3" s="3" t="n">
        <v>108.84</v>
      </c>
      <c r="F3" s="3" t="n">
        <v>10.26953264926049</v>
      </c>
      <c r="G3" s="3" t="n">
        <v>5233.257629524485</v>
      </c>
    </row>
    <row r="4">
      <c r="A4" s="2" t="n">
        <v>1962</v>
      </c>
      <c r="B4" s="3" t="n">
        <v>3810.123</v>
      </c>
      <c r="C4" s="3" t="n">
        <v>70619</v>
      </c>
      <c r="D4" s="3" t="n">
        <v>412.505</v>
      </c>
      <c r="E4" s="3" t="n">
        <v>114.334</v>
      </c>
      <c r="F4" s="3" t="n">
        <v>10.82655336848705</v>
      </c>
      <c r="G4" s="3" t="n">
        <v>5841.275010974384</v>
      </c>
    </row>
    <row r="5">
      <c r="A5" s="2" t="n">
        <v>1963</v>
      </c>
      <c r="B5" s="3" t="n">
        <v>3976.142</v>
      </c>
      <c r="C5" s="3" t="n">
        <v>71812</v>
      </c>
      <c r="D5" s="3" t="n">
        <v>440.507</v>
      </c>
      <c r="E5" s="3" t="n">
        <v>122.475</v>
      </c>
      <c r="F5" s="3" t="n">
        <v>11.07875422960246</v>
      </c>
      <c r="G5" s="3" t="n">
        <v>6134.169776639002</v>
      </c>
    </row>
    <row r="6">
      <c r="A6" s="2" t="n">
        <v>1964</v>
      </c>
      <c r="B6" s="3" t="n">
        <v>4205.277</v>
      </c>
      <c r="C6" s="3" t="n">
        <v>73077</v>
      </c>
      <c r="D6" s="3" t="n">
        <v>475.251</v>
      </c>
      <c r="E6" s="3" t="n">
        <v>136.928</v>
      </c>
      <c r="F6" s="3" t="n">
        <v>11.30130072287747</v>
      </c>
      <c r="G6" s="3" t="n">
        <v>6503.427891128536</v>
      </c>
    </row>
    <row r="7">
      <c r="A7" s="2" t="n">
        <v>1965</v>
      </c>
      <c r="B7" s="3" t="n">
        <v>4478.555</v>
      </c>
      <c r="C7" s="3" t="n">
        <v>74424</v>
      </c>
      <c r="D7" s="3" t="n">
        <v>541.026</v>
      </c>
      <c r="E7" s="3" t="n">
        <v>140.763</v>
      </c>
      <c r="F7" s="3" t="n">
        <v>12.08036967280741</v>
      </c>
      <c r="G7" s="3" t="n">
        <v>7269.509835536923</v>
      </c>
    </row>
    <row r="8">
      <c r="A8" s="2" t="n">
        <v>1966</v>
      </c>
      <c r="B8" s="3" t="n">
        <v>4773.931</v>
      </c>
      <c r="C8" s="3" t="n">
        <v>75745</v>
      </c>
      <c r="D8" s="3" t="n">
        <v>589.6130000000001</v>
      </c>
      <c r="E8" s="3" t="n">
        <v>150.502</v>
      </c>
      <c r="F8" s="3" t="n">
        <v>12.35068123104419</v>
      </c>
      <c r="G8" s="3" t="n">
        <v>7784.183774506568</v>
      </c>
    </row>
    <row r="9">
      <c r="A9" s="2" t="n">
        <v>1967</v>
      </c>
      <c r="B9" s="3" t="n">
        <v>4904.864</v>
      </c>
      <c r="C9" s="3" t="n">
        <v>77348</v>
      </c>
      <c r="D9" s="3" t="n">
        <v>568.985</v>
      </c>
      <c r="E9" s="3" t="n">
        <v>153.933</v>
      </c>
      <c r="F9" s="3" t="n">
        <v>11.60042357953248</v>
      </c>
      <c r="G9" s="3" t="n">
        <v>7356.169519573874</v>
      </c>
    </row>
    <row r="10">
      <c r="A10" s="2" t="n">
        <v>1968</v>
      </c>
      <c r="B10" s="3" t="n">
        <v>5145.914</v>
      </c>
      <c r="C10" s="3" t="n">
        <v>78710</v>
      </c>
      <c r="D10" s="3" t="n">
        <v>602.995</v>
      </c>
      <c r="E10" s="3" t="n">
        <v>166.098</v>
      </c>
      <c r="F10" s="3" t="n">
        <v>11.71793776576911</v>
      </c>
      <c r="G10" s="3" t="n">
        <v>7660.970651759624</v>
      </c>
    </row>
    <row r="11">
      <c r="A11" s="2" t="n">
        <v>1969</v>
      </c>
      <c r="B11" s="3" t="n">
        <v>5306.595</v>
      </c>
      <c r="C11" s="3" t="n">
        <v>80705</v>
      </c>
      <c r="D11" s="3" t="n">
        <v>636.58</v>
      </c>
      <c r="E11" s="3" t="n">
        <v>174.199</v>
      </c>
      <c r="F11" s="3" t="n">
        <v>11.99601627785802</v>
      </c>
      <c r="G11" s="3" t="n">
        <v>7887.739297441299</v>
      </c>
    </row>
    <row r="12">
      <c r="A12" s="2" t="n">
        <v>1970</v>
      </c>
      <c r="B12" s="3" t="n">
        <v>5316.391</v>
      </c>
      <c r="C12" s="3" t="n">
        <v>82796</v>
      </c>
      <c r="D12" s="3" t="n">
        <v>597.876</v>
      </c>
      <c r="E12" s="3" t="n">
        <v>192.762</v>
      </c>
      <c r="F12" s="3" t="n">
        <v>11.24589970903194</v>
      </c>
      <c r="G12" s="3" t="n">
        <v>7221.073481810716</v>
      </c>
    </row>
    <row r="13">
      <c r="A13" s="2" t="n">
        <v>1971</v>
      </c>
      <c r="B13" s="3" t="n">
        <v>5491.446</v>
      </c>
      <c r="C13" s="3" t="n">
        <v>84376</v>
      </c>
      <c r="D13" s="3" t="n">
        <v>659.4880000000001</v>
      </c>
      <c r="E13" s="3" t="n">
        <v>196.102</v>
      </c>
      <c r="F13" s="3" t="n">
        <v>12.00936875278388</v>
      </c>
      <c r="G13" s="3" t="n">
        <v>7816.061439271831</v>
      </c>
    </row>
    <row r="14">
      <c r="A14" s="2" t="n">
        <v>1972</v>
      </c>
      <c r="B14" s="3" t="n">
        <v>5780.048</v>
      </c>
      <c r="C14" s="3" t="n">
        <v>87011</v>
      </c>
      <c r="D14" s="3" t="n">
        <v>733.776</v>
      </c>
      <c r="E14" s="3" t="n">
        <v>211.387</v>
      </c>
      <c r="F14" s="3" t="n">
        <v>12.6949810797419</v>
      </c>
      <c r="G14" s="3" t="n">
        <v>8433.140637390674</v>
      </c>
    </row>
    <row r="15">
      <c r="A15" s="2" t="n">
        <v>1973</v>
      </c>
      <c r="B15" s="3" t="n">
        <v>6106.371</v>
      </c>
      <c r="C15" s="3" t="n">
        <v>89411</v>
      </c>
      <c r="D15" s="3" t="n">
        <v>814.066</v>
      </c>
      <c r="E15" s="3" t="n">
        <v>251.168</v>
      </c>
      <c r="F15" s="3" t="n">
        <v>13.33142057696789</v>
      </c>
      <c r="G15" s="3" t="n">
        <v>9104.763396002729</v>
      </c>
    </row>
    <row r="16">
      <c r="A16" s="2" t="n">
        <v>1974</v>
      </c>
      <c r="B16" s="3" t="n">
        <v>6073.363</v>
      </c>
      <c r="C16" s="3" t="n">
        <v>91976</v>
      </c>
      <c r="D16" s="3" t="n">
        <v>760.152</v>
      </c>
      <c r="E16" s="3" t="n">
        <v>271.117</v>
      </c>
      <c r="F16" s="3" t="n">
        <v>12.51616279152094</v>
      </c>
      <c r="G16" s="3" t="n">
        <v>8264.677742019658</v>
      </c>
    </row>
    <row r="17">
      <c r="A17" s="2" t="n">
        <v>1975</v>
      </c>
      <c r="B17" s="3" t="n">
        <v>6060.875</v>
      </c>
      <c r="C17" s="3" t="n">
        <v>93770</v>
      </c>
      <c r="D17" s="3" t="n">
        <v>637.013</v>
      </c>
      <c r="E17" s="3" t="n">
        <v>269.381</v>
      </c>
      <c r="F17" s="3" t="n">
        <v>10.51024810774022</v>
      </c>
      <c r="G17" s="3" t="n">
        <v>6793.356084035406</v>
      </c>
    </row>
    <row r="18">
      <c r="A18" s="2" t="n">
        <v>1976</v>
      </c>
      <c r="B18" s="3" t="n">
        <v>6387.437</v>
      </c>
      <c r="C18" s="3" t="n">
        <v>96151</v>
      </c>
      <c r="D18" s="3" t="n">
        <v>758.582</v>
      </c>
      <c r="E18" s="3" t="n">
        <v>281.144</v>
      </c>
      <c r="F18" s="3" t="n">
        <v>11.87615627363526</v>
      </c>
      <c r="G18" s="3" t="n">
        <v>7889.486328795332</v>
      </c>
    </row>
    <row r="19">
      <c r="A19" s="2" t="n">
        <v>1977</v>
      </c>
      <c r="B19" s="3" t="n">
        <v>6682.805</v>
      </c>
      <c r="C19" s="3" t="n">
        <v>98984</v>
      </c>
      <c r="D19" s="3" t="n">
        <v>866.804</v>
      </c>
      <c r="E19" s="3" t="n">
        <v>287.901</v>
      </c>
      <c r="F19" s="3" t="n">
        <v>12.97066127172647</v>
      </c>
      <c r="G19" s="3" t="n">
        <v>8757.01123413885</v>
      </c>
    </row>
    <row r="20">
      <c r="A20" s="2" t="n">
        <v>1978</v>
      </c>
      <c r="B20" s="3" t="n">
        <v>7052.711</v>
      </c>
      <c r="C20" s="3" t="n">
        <v>102233</v>
      </c>
      <c r="D20" s="3" t="n">
        <v>967.071</v>
      </c>
      <c r="E20" s="3" t="n">
        <v>318.29</v>
      </c>
      <c r="F20" s="3" t="n">
        <v>13.71204633225436</v>
      </c>
      <c r="G20" s="3" t="n">
        <v>9459.479815715082</v>
      </c>
    </row>
    <row r="21">
      <c r="A21" s="2" t="n">
        <v>1979</v>
      </c>
      <c r="B21" s="3" t="n">
        <v>7275.999</v>
      </c>
      <c r="C21" s="3" t="n">
        <v>104961</v>
      </c>
      <c r="D21" s="3" t="n">
        <v>1000.966</v>
      </c>
      <c r="E21" s="3" t="n">
        <v>349.81</v>
      </c>
      <c r="F21" s="3" t="n">
        <v>13.75709369943564</v>
      </c>
      <c r="G21" s="3" t="n">
        <v>9536.55167157325</v>
      </c>
    </row>
    <row r="22">
      <c r="A22" s="2" t="n">
        <v>1980</v>
      </c>
      <c r="B22" s="3" t="n">
        <v>7257.317</v>
      </c>
      <c r="C22" s="3" t="n">
        <v>106974</v>
      </c>
      <c r="D22" s="3" t="n">
        <v>900.25</v>
      </c>
      <c r="E22" s="3" t="n">
        <v>387.475</v>
      </c>
      <c r="F22" s="3" t="n">
        <v>12.40472202054837</v>
      </c>
      <c r="G22" s="3" t="n">
        <v>8415.596313122815</v>
      </c>
    </row>
    <row r="23">
      <c r="A23" s="2" t="n">
        <v>1981</v>
      </c>
      <c r="B23" s="3" t="n">
        <v>7441.485</v>
      </c>
      <c r="C23" s="3" t="n">
        <v>108676</v>
      </c>
      <c r="D23" s="3" t="n">
        <v>979.49</v>
      </c>
      <c r="E23" s="3" t="n">
        <v>392.197</v>
      </c>
      <c r="F23" s="3" t="n">
        <v>13.1625609673338</v>
      </c>
      <c r="G23" s="3" t="n">
        <v>9012.93753910707</v>
      </c>
    </row>
    <row r="24">
      <c r="A24" s="2" t="n">
        <v>1982</v>
      </c>
      <c r="B24" s="3" t="n">
        <v>7307.314</v>
      </c>
      <c r="C24" s="3" t="n">
        <v>110244</v>
      </c>
      <c r="D24" s="3" t="n">
        <v>856.458</v>
      </c>
      <c r="E24" s="3" t="n">
        <v>362.167</v>
      </c>
      <c r="F24" s="3" t="n">
        <v>11.72055833374616</v>
      </c>
      <c r="G24" s="3" t="n">
        <v>7768.749319690867</v>
      </c>
    </row>
    <row r="25">
      <c r="A25" s="2" t="n">
        <v>1983</v>
      </c>
      <c r="B25" s="3" t="n">
        <v>7642.266</v>
      </c>
      <c r="C25" s="3" t="n">
        <v>111515</v>
      </c>
      <c r="D25" s="3" t="n">
        <v>936.3920000000001</v>
      </c>
      <c r="E25" s="3" t="n">
        <v>352.782</v>
      </c>
      <c r="F25" s="3" t="n">
        <v>12.25280564691153</v>
      </c>
      <c r="G25" s="3" t="n">
        <v>8397.004887234902</v>
      </c>
    </row>
    <row r="26">
      <c r="A26" s="2" t="n">
        <v>1984</v>
      </c>
      <c r="B26" s="3" t="n">
        <v>8195.295</v>
      </c>
      <c r="C26" s="3" t="n">
        <v>113532</v>
      </c>
      <c r="D26" s="3" t="n">
        <v>1191.944</v>
      </c>
      <c r="E26" s="3" t="n">
        <v>381.544</v>
      </c>
      <c r="F26" s="3" t="n">
        <v>14.54424764453262</v>
      </c>
      <c r="G26" s="3" t="n">
        <v>10498.7492513124</v>
      </c>
    </row>
    <row r="27">
      <c r="A27" s="2" t="n">
        <v>1985</v>
      </c>
      <c r="B27" s="3" t="n">
        <v>8537.004000000001</v>
      </c>
      <c r="C27" s="3" t="n">
        <v>115467</v>
      </c>
      <c r="D27" s="3" t="n">
        <v>1191.185</v>
      </c>
      <c r="E27" s="3" t="n">
        <v>394.328</v>
      </c>
      <c r="F27" s="3" t="n">
        <v>13.95319716378252</v>
      </c>
      <c r="G27" s="3" t="n">
        <v>10316.23753972997</v>
      </c>
    </row>
    <row r="28">
      <c r="A28" s="2" t="n">
        <v>1986</v>
      </c>
      <c r="B28" s="3" t="n">
        <v>8832.611000000001</v>
      </c>
      <c r="C28" s="3" t="n">
        <v>117846</v>
      </c>
      <c r="D28" s="3" t="n">
        <v>1193.068</v>
      </c>
      <c r="E28" s="3" t="n">
        <v>424.543</v>
      </c>
      <c r="F28" s="3" t="n">
        <v>13.50753474821884</v>
      </c>
      <c r="G28" s="3" t="n">
        <v>10123.95838636865</v>
      </c>
    </row>
    <row r="29">
      <c r="A29" s="2" t="n">
        <v>1987</v>
      </c>
      <c r="B29" s="3" t="n">
        <v>9137.745000000001</v>
      </c>
      <c r="C29" s="3" t="n">
        <v>119853</v>
      </c>
      <c r="D29" s="3" t="n">
        <v>1226.972</v>
      </c>
      <c r="E29" s="3" t="n">
        <v>470.94</v>
      </c>
      <c r="F29" s="3" t="n">
        <v>13.42751411863649</v>
      </c>
      <c r="G29" s="3" t="n">
        <v>10237.3073681927</v>
      </c>
    </row>
    <row r="30">
      <c r="A30" s="2" t="n">
        <v>1988</v>
      </c>
      <c r="B30" s="3" t="n">
        <v>9519.427</v>
      </c>
      <c r="C30" s="3" t="n">
        <v>121671</v>
      </c>
      <c r="D30" s="3" t="n">
        <v>1257.243</v>
      </c>
      <c r="E30" s="3" t="n">
        <v>547.29</v>
      </c>
      <c r="F30" s="3" t="n">
        <v>13.20712895849719</v>
      </c>
      <c r="G30" s="3" t="n">
        <v>10333.13608008482</v>
      </c>
    </row>
    <row r="31">
      <c r="A31" s="2" t="n">
        <v>1989</v>
      </c>
      <c r="B31" s="3" t="n">
        <v>9869.003000000001</v>
      </c>
      <c r="C31" s="3" t="n">
        <v>123851</v>
      </c>
      <c r="D31" s="3" t="n">
        <v>1308.1</v>
      </c>
      <c r="E31" s="3" t="n">
        <v>610.649</v>
      </c>
      <c r="F31" s="3" t="n">
        <v>13.25463169886563</v>
      </c>
      <c r="G31" s="3" t="n">
        <v>10561.88484549984</v>
      </c>
    </row>
    <row r="32">
      <c r="A32" s="2" t="n">
        <v>1990</v>
      </c>
      <c r="B32" s="3" t="n">
        <v>10055.129</v>
      </c>
      <c r="C32" s="3" t="n">
        <v>125857</v>
      </c>
      <c r="D32" s="3" t="n">
        <v>1274.345</v>
      </c>
      <c r="E32" s="3" t="n">
        <v>664.52</v>
      </c>
      <c r="F32" s="3" t="n">
        <v>12.67358181083505</v>
      </c>
      <c r="G32" s="3" t="n">
        <v>10125.34066440484</v>
      </c>
    </row>
    <row r="33">
      <c r="A33" s="2" t="n">
        <v>1991</v>
      </c>
      <c r="B33" s="3" t="n">
        <v>10044.238</v>
      </c>
      <c r="C33" s="3" t="n">
        <v>126352</v>
      </c>
      <c r="D33" s="3" t="n">
        <v>1190.025</v>
      </c>
      <c r="E33" s="3" t="n">
        <v>708.472</v>
      </c>
      <c r="F33" s="3" t="n">
        <v>11.84783753630689</v>
      </c>
      <c r="G33" s="3" t="n">
        <v>9418.33132835254</v>
      </c>
    </row>
    <row r="34">
      <c r="A34" s="2" t="n">
        <v>1992</v>
      </c>
      <c r="B34" s="3" t="n">
        <v>10398.046</v>
      </c>
      <c r="C34" s="3" t="n">
        <v>128099</v>
      </c>
      <c r="D34" s="3" t="n">
        <v>1276.737</v>
      </c>
      <c r="E34" s="3" t="n">
        <v>757.551</v>
      </c>
      <c r="F34" s="3" t="n">
        <v>12.27862427229116</v>
      </c>
      <c r="G34" s="3" t="n">
        <v>9966.799116308481</v>
      </c>
    </row>
    <row r="35">
      <c r="A35" s="2" t="n">
        <v>1993</v>
      </c>
      <c r="B35" s="3" t="n">
        <v>10684.179</v>
      </c>
      <c r="C35" s="3" t="n">
        <v>129185</v>
      </c>
      <c r="D35" s="3" t="n">
        <v>1378.819</v>
      </c>
      <c r="E35" s="3" t="n">
        <v>782.282</v>
      </c>
      <c r="F35" s="3" t="n">
        <v>12.90524054304968</v>
      </c>
      <c r="G35" s="3" t="n">
        <v>10673.21283430739</v>
      </c>
    </row>
    <row r="36">
      <c r="A36" s="2" t="n">
        <v>1994</v>
      </c>
      <c r="B36" s="3" t="n">
        <v>11114.646</v>
      </c>
      <c r="C36" s="3" t="n">
        <v>131047</v>
      </c>
      <c r="D36" s="3" t="n">
        <v>1541.894</v>
      </c>
      <c r="E36" s="3" t="n">
        <v>851.405</v>
      </c>
      <c r="F36" s="3" t="n">
        <v>13.87263256067714</v>
      </c>
      <c r="G36" s="3" t="n">
        <v>11765.9618304883</v>
      </c>
    </row>
    <row r="37">
      <c r="A37" s="2" t="n">
        <v>1995</v>
      </c>
      <c r="B37" s="3" t="n">
        <v>11413.012</v>
      </c>
      <c r="C37" s="3" t="n">
        <v>132315</v>
      </c>
      <c r="D37" s="3" t="n">
        <v>1591.364</v>
      </c>
      <c r="E37" s="3" t="n">
        <v>938.915</v>
      </c>
      <c r="F37" s="3" t="n">
        <v>13.94341826679933</v>
      </c>
      <c r="G37" s="3" t="n">
        <v>12027.08687601557</v>
      </c>
    </row>
    <row r="38">
      <c r="A38" s="2" t="n">
        <v>1996</v>
      </c>
      <c r="B38" s="3" t="n">
        <v>11843.599</v>
      </c>
      <c r="C38" s="3" t="n">
        <v>133951</v>
      </c>
      <c r="D38" s="3" t="n">
        <v>1730.475</v>
      </c>
      <c r="E38" s="3" t="n">
        <v>1015.685</v>
      </c>
      <c r="F38" s="3" t="n">
        <v>14.61105699373982</v>
      </c>
      <c r="G38" s="3" t="n">
        <v>12918.7165456025</v>
      </c>
    </row>
    <row r="39">
      <c r="A39" s="2" t="n">
        <v>1997</v>
      </c>
      <c r="B39" s="3" t="n">
        <v>12370.3</v>
      </c>
      <c r="C39" s="3" t="n">
        <v>136301</v>
      </c>
      <c r="D39" s="3" t="n">
        <v>1927.831</v>
      </c>
      <c r="E39" s="3" t="n">
        <v>1136.649</v>
      </c>
      <c r="F39" s="3" t="n">
        <v>15.58435122834531</v>
      </c>
      <c r="G39" s="3" t="n">
        <v>14143.9241091408</v>
      </c>
    </row>
    <row r="40">
      <c r="A40" s="2" t="n">
        <v>1998</v>
      </c>
      <c r="B40" s="3" t="n">
        <v>12924.876</v>
      </c>
      <c r="C40" s="3" t="n">
        <v>137680</v>
      </c>
      <c r="D40" s="3" t="n">
        <v>2111.478</v>
      </c>
      <c r="E40" s="3" t="n">
        <v>1163.198</v>
      </c>
      <c r="F40" s="3" t="n">
        <v>16.33654357689776</v>
      </c>
      <c r="G40" s="3" t="n">
        <v>15336.12725159791</v>
      </c>
    </row>
    <row r="41">
      <c r="A41" s="2" t="n">
        <v>1999</v>
      </c>
      <c r="B41" s="3" t="n">
        <v>13543.774</v>
      </c>
      <c r="C41" s="3" t="n">
        <v>139380</v>
      </c>
      <c r="D41" s="3" t="n">
        <v>2290.672</v>
      </c>
      <c r="E41" s="3" t="n">
        <v>1221.122</v>
      </c>
      <c r="F41" s="3" t="n">
        <v>16.91309970175226</v>
      </c>
      <c r="G41" s="3" t="n">
        <v>16434.7252116516</v>
      </c>
    </row>
    <row r="42">
      <c r="A42" s="2" t="n">
        <v>2000</v>
      </c>
      <c r="B42" s="3" t="n">
        <v>14096.033</v>
      </c>
      <c r="C42" s="3" t="n">
        <v>142586</v>
      </c>
      <c r="D42" s="3" t="n">
        <v>2444.908</v>
      </c>
      <c r="E42" s="3" t="n">
        <v>1322.64</v>
      </c>
      <c r="F42" s="3" t="n">
        <v>17.34465292469165</v>
      </c>
      <c r="G42" s="3" t="n">
        <v>17146.90081775209</v>
      </c>
    </row>
    <row r="43">
      <c r="A43" s="2" t="n">
        <v>2001</v>
      </c>
      <c r="B43" s="3" t="n">
        <v>14230.726</v>
      </c>
      <c r="C43" s="3" t="n">
        <v>143769</v>
      </c>
      <c r="D43" s="3" t="n">
        <v>2307.396</v>
      </c>
      <c r="E43" s="3" t="n">
        <v>1248.809</v>
      </c>
      <c r="F43" s="3" t="n">
        <v>16.21418331011363</v>
      </c>
      <c r="G43" s="3" t="n">
        <v>16049.32913214949</v>
      </c>
    </row>
    <row r="44">
      <c r="A44" s="2" t="n">
        <v>2002</v>
      </c>
      <c r="B44" s="3" t="n">
        <v>14472.712</v>
      </c>
      <c r="C44" s="3" t="n">
        <v>144856</v>
      </c>
      <c r="D44" s="3" t="n">
        <v>2287.685</v>
      </c>
      <c r="E44" s="3" t="n">
        <v>1224.411</v>
      </c>
      <c r="F44" s="3" t="n">
        <v>15.8068853992258</v>
      </c>
      <c r="G44" s="3" t="n">
        <v>15792.82183685867</v>
      </c>
    </row>
    <row r="45">
      <c r="A45" s="2" t="n">
        <v>2003</v>
      </c>
      <c r="B45" s="3" t="n">
        <v>14877.313</v>
      </c>
      <c r="C45" s="3" t="n">
        <v>146500</v>
      </c>
      <c r="D45" s="3" t="n">
        <v>2386.381</v>
      </c>
      <c r="E45" s="3" t="n">
        <v>1250.203</v>
      </c>
      <c r="F45" s="3" t="n">
        <v>16.04040326368074</v>
      </c>
      <c r="G45" s="3" t="n">
        <v>16289.29010238908</v>
      </c>
    </row>
    <row r="46">
      <c r="A46" s="2" t="n">
        <v>2004</v>
      </c>
      <c r="B46" s="3" t="n">
        <v>15449.757</v>
      </c>
      <c r="C46" s="3" t="n">
        <v>147380</v>
      </c>
      <c r="D46" s="3" t="n">
        <v>2606.974</v>
      </c>
      <c r="E46" s="3" t="n">
        <v>1370.771</v>
      </c>
      <c r="F46" s="3" t="n">
        <v>16.8738835180385</v>
      </c>
      <c r="G46" s="3" t="n">
        <v>17688.79088071651</v>
      </c>
    </row>
    <row r="47">
      <c r="A47" s="2" t="n">
        <v>2005</v>
      </c>
      <c r="B47" s="3" t="n">
        <v>15987.958</v>
      </c>
      <c r="C47" s="3" t="n">
        <v>149289</v>
      </c>
      <c r="D47" s="3" t="n">
        <v>2782.236</v>
      </c>
      <c r="E47" s="3" t="n">
        <v>1466.005</v>
      </c>
      <c r="F47" s="3" t="n">
        <v>17.40207223461558</v>
      </c>
      <c r="G47" s="3" t="n">
        <v>18636.57737676587</v>
      </c>
    </row>
    <row r="48">
      <c r="A48" s="2" t="n">
        <v>2006</v>
      </c>
      <c r="B48" s="3" t="n">
        <v>16433.148</v>
      </c>
      <c r="C48" s="3" t="n">
        <v>151409</v>
      </c>
      <c r="D48" s="3" t="n">
        <v>2867.903</v>
      </c>
      <c r="E48" s="3" t="n">
        <v>1604.922</v>
      </c>
      <c r="F48" s="3" t="n">
        <v>17.45193921456801</v>
      </c>
      <c r="G48" s="3" t="n">
        <v>18941.43016597428</v>
      </c>
    </row>
    <row r="49">
      <c r="A49" s="2" t="n">
        <v>2007</v>
      </c>
      <c r="B49" s="3" t="n">
        <v>16762.446</v>
      </c>
      <c r="C49" s="3" t="n">
        <v>153123</v>
      </c>
      <c r="D49" s="3" t="n">
        <v>2796.023</v>
      </c>
      <c r="E49" s="3" t="n">
        <v>1745.535</v>
      </c>
      <c r="F49" s="3" t="n">
        <v>16.68028043162674</v>
      </c>
      <c r="G49" s="3" t="n">
        <v>18259.98053852132</v>
      </c>
    </row>
    <row r="50">
      <c r="A50" s="2" t="n">
        <v>2008</v>
      </c>
      <c r="B50" s="3" t="n">
        <v>16781.485</v>
      </c>
      <c r="C50" s="3" t="n">
        <v>154322</v>
      </c>
      <c r="D50" s="3" t="n">
        <v>2564.26</v>
      </c>
      <c r="E50" s="3" t="n">
        <v>1846.597</v>
      </c>
      <c r="F50" s="3" t="n">
        <v>15.28029253668552</v>
      </c>
      <c r="G50" s="3" t="n">
        <v>16616.29579709957</v>
      </c>
    </row>
    <row r="51">
      <c r="A51" s="2" t="n">
        <v>2009</v>
      </c>
      <c r="B51" s="3" t="n">
        <v>16349.111</v>
      </c>
      <c r="C51" s="3" t="n">
        <v>154189</v>
      </c>
      <c r="D51" s="3" t="n">
        <v>2025.29</v>
      </c>
      <c r="E51" s="3" t="n">
        <v>1693.098</v>
      </c>
      <c r="F51" s="3" t="n">
        <v>12.38776836245102</v>
      </c>
      <c r="G51" s="3" t="n">
        <v>13135.11339978857</v>
      </c>
    </row>
    <row r="52">
      <c r="A52" s="2" t="n">
        <v>2010</v>
      </c>
      <c r="B52" s="3" t="n">
        <v>16789.751</v>
      </c>
      <c r="C52" s="3" t="n">
        <v>153885</v>
      </c>
      <c r="D52" s="3" t="n">
        <v>2309.043</v>
      </c>
      <c r="E52" s="3" t="n">
        <v>1907.258</v>
      </c>
      <c r="F52" s="3" t="n">
        <v>13.75269353309647</v>
      </c>
      <c r="G52" s="3" t="n">
        <v>15004.99073983819</v>
      </c>
    </row>
    <row r="53">
      <c r="A53" s="2" t="n">
        <v>2011</v>
      </c>
      <c r="B53" s="3" t="n">
        <v>17052.411</v>
      </c>
      <c r="C53" s="3" t="n">
        <v>153624</v>
      </c>
      <c r="D53" s="3" t="n">
        <v>2463.141</v>
      </c>
      <c r="E53" s="3" t="n">
        <v>2044.164</v>
      </c>
      <c r="F53" s="3" t="n">
        <v>14.44453221306946</v>
      </c>
      <c r="G53" s="3" t="n">
        <v>16033.56897359788</v>
      </c>
    </row>
    <row r="54">
      <c r="A54" s="2" t="n">
        <v>2012</v>
      </c>
      <c r="B54" s="3" t="n">
        <v>17442.759</v>
      </c>
      <c r="C54" s="3" t="n">
        <v>154974</v>
      </c>
      <c r="D54" s="3" t="n">
        <v>2735.269</v>
      </c>
      <c r="E54" s="3" t="n">
        <v>2126.302</v>
      </c>
      <c r="F54" s="3" t="n">
        <v>15.68140109027477</v>
      </c>
      <c r="G54" s="3" t="n">
        <v>17649.85739543407</v>
      </c>
    </row>
    <row r="55">
      <c r="A55" s="2" t="n">
        <v>2013</v>
      </c>
      <c r="B55" s="3" t="n">
        <v>17812.167</v>
      </c>
      <c r="C55" s="3" t="n">
        <v>155398</v>
      </c>
      <c r="D55" s="3" t="n">
        <v>2938.666</v>
      </c>
      <c r="E55" s="3" t="n">
        <v>2190.311</v>
      </c>
      <c r="F55" s="3" t="n">
        <v>16.49808246239775</v>
      </c>
      <c r="G55" s="3" t="n">
        <v>18910.57799971686</v>
      </c>
    </row>
    <row r="56">
      <c r="A56" s="2" t="n">
        <v>2014</v>
      </c>
      <c r="B56" s="3" t="n">
        <v>18261.714</v>
      </c>
      <c r="C56" s="3" t="n">
        <v>155920</v>
      </c>
      <c r="D56" s="3" t="n">
        <v>3128.993</v>
      </c>
      <c r="E56" s="3" t="n">
        <v>2275.784</v>
      </c>
      <c r="F56" s="3" t="n">
        <v>17.1341693337219</v>
      </c>
      <c r="G56" s="3" t="n">
        <v>20067.9386865059</v>
      </c>
    </row>
    <row r="57">
      <c r="A57" s="2" t="n">
        <v>2015</v>
      </c>
      <c r="B57" s="3" t="n">
        <v>18799.622</v>
      </c>
      <c r="C57" s="3" t="n">
        <v>157138</v>
      </c>
      <c r="D57" s="3" t="n">
        <v>3323.387</v>
      </c>
      <c r="E57" s="3" t="n">
        <v>2283.058</v>
      </c>
      <c r="F57" s="3" t="n">
        <v>17.67794586508176</v>
      </c>
      <c r="G57" s="3" t="n">
        <v>21149.48007483868</v>
      </c>
    </row>
    <row r="58">
      <c r="A58" s="2" t="n">
        <v>2016</v>
      </c>
      <c r="B58" s="3" t="n">
        <v>19141.672</v>
      </c>
      <c r="C58" s="3" t="n">
        <v>159188</v>
      </c>
      <c r="D58" s="3" t="n">
        <v>3320.238</v>
      </c>
      <c r="E58" s="3" t="n">
        <v>2293.881</v>
      </c>
      <c r="F58" s="3" t="n">
        <v>17.34560073958012</v>
      </c>
      <c r="G58" s="3" t="n">
        <v>20857.33849285122</v>
      </c>
    </row>
    <row r="59">
      <c r="A59" s="2" t="n">
        <v>2017</v>
      </c>
      <c r="B59" s="3" t="n">
        <v>19612.103</v>
      </c>
      <c r="C59" s="3" t="n">
        <v>160319</v>
      </c>
      <c r="D59" s="3" t="n">
        <v>3467.664</v>
      </c>
      <c r="E59" s="3" t="n">
        <v>2388.26</v>
      </c>
      <c r="F59" s="3" t="n">
        <v>17.68124509645906</v>
      </c>
      <c r="G59" s="3" t="n">
        <v>21629.77563482806</v>
      </c>
    </row>
    <row r="60">
      <c r="A60" s="2" t="n">
        <v>2018</v>
      </c>
      <c r="B60" s="3" t="n">
        <v>20193.895</v>
      </c>
      <c r="C60" s="3" t="n">
        <v>162078</v>
      </c>
      <c r="D60" s="3" t="n">
        <v>3668.081</v>
      </c>
      <c r="E60" s="3" t="n">
        <v>2456.423</v>
      </c>
      <c r="F60" s="3" t="n">
        <v>18.16430658869921</v>
      </c>
      <c r="G60" s="3" t="n">
        <v>22631.57862263848</v>
      </c>
    </row>
    <row r="61">
      <c r="A61" s="2" t="n">
        <v>2019</v>
      </c>
      <c r="B61" s="3" t="n">
        <v>20715.672</v>
      </c>
      <c r="C61" s="3" t="n">
        <v>163537</v>
      </c>
      <c r="D61" s="3" t="n">
        <v>3783.988</v>
      </c>
      <c r="E61" s="3" t="n">
        <v>2469.535</v>
      </c>
      <c r="F61" s="3" t="n">
        <v>18.26630581909194</v>
      </c>
      <c r="G61" s="3" t="n">
        <v>23138.42127469625</v>
      </c>
    </row>
    <row r="62">
      <c r="A62" s="2" t="n">
        <v>2020</v>
      </c>
      <c r="B62" s="3" t="n">
        <v>20284.5</v>
      </c>
      <c r="C62" s="3" t="n">
        <v>160763</v>
      </c>
      <c r="D62" s="3" t="n">
        <v>3618.559</v>
      </c>
      <c r="E62" s="3" t="n">
        <v>2157.811</v>
      </c>
      <c r="F62" s="3" t="n">
        <v>17.8390347309522</v>
      </c>
      <c r="G62" s="3" t="n">
        <v>22508.65559861411</v>
      </c>
    </row>
    <row r="63">
      <c r="A63" s="2" t="n">
        <v>2021</v>
      </c>
      <c r="B63" s="3" t="n">
        <v>21532.407</v>
      </c>
      <c r="C63" s="3" t="n">
        <v>161212</v>
      </c>
      <c r="D63" s="3" t="n">
        <v>3944.358</v>
      </c>
      <c r="E63" s="3" t="n">
        <v>2297.169</v>
      </c>
      <c r="F63" s="3" t="n">
        <v>18.3182400369824</v>
      </c>
      <c r="G63" s="3" t="n">
        <v>24466.90072699302</v>
      </c>
    </row>
    <row r="64">
      <c r="A64" s="2" t="n">
        <v>2022</v>
      </c>
      <c r="B64" s="3" t="n">
        <v>22075.931</v>
      </c>
      <c r="C64" s="3" t="n">
        <v>164286</v>
      </c>
      <c r="D64" s="3" t="n">
        <v>4184.911</v>
      </c>
      <c r="E64" s="3" t="n">
        <v>2472.061</v>
      </c>
      <c r="F64" s="3" t="n">
        <v>18.95689472847148</v>
      </c>
      <c r="G64" s="3" t="n">
        <v>25473.32700290956</v>
      </c>
    </row>
    <row r="65">
      <c r="A65" s="2" t="n">
        <v>2023</v>
      </c>
      <c r="B65" s="3" t="n">
        <v>22723.719</v>
      </c>
      <c r="C65" s="3" t="n">
        <v>167118</v>
      </c>
      <c r="D65" s="3" t="n">
        <v>4219.498</v>
      </c>
      <c r="E65" s="3" t="n">
        <v>2541.04</v>
      </c>
      <c r="F65" s="3" t="n">
        <v>18.56869467537422</v>
      </c>
      <c r="G65" s="3" t="n">
        <v>25248.6147512536</v>
      </c>
    </row>
    <row r="66">
      <c r="A66" s="2" t="n">
        <v>2024</v>
      </c>
      <c r="B66" s="3" t="n">
        <v>23358.435</v>
      </c>
      <c r="C66" s="3" t="n">
        <v>168110</v>
      </c>
      <c r="D66" s="3" t="n">
        <v>4346.494</v>
      </c>
      <c r="E66" s="3" t="n">
        <v>2633.598</v>
      </c>
      <c r="F66" s="3" t="n">
        <v>18.60781340873222</v>
      </c>
      <c r="G66" s="3" t="n">
        <v>25855.0591874368</v>
      </c>
    </row>
    <row r="67">
      <c r="A67" s="2" t="n">
        <v>2025</v>
      </c>
      <c r="B67" s="3" t="n">
        <v/>
      </c>
      <c r="C67" s="3" t="n">
        <v/>
      </c>
      <c r="D67" s="3" t="n">
        <v/>
      </c>
      <c r="E67" s="3" t="n">
        <v/>
      </c>
      <c r="F67" s="3" t="n">
        <v/>
      </c>
      <c r="G67" s="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2" customWidth="1" min="4" max="4"/>
    <col width="22" customWidth="1" min="5" max="5"/>
  </cols>
  <sheetData>
    <row r="1">
      <c r="A1" s="1" t="inlineStr">
        <is>
          <t>Year</t>
        </is>
      </c>
      <c r="B1" s="1" t="inlineStr">
        <is>
          <t>Capital Deepening (Normalized)</t>
        </is>
      </c>
      <c r="C1" s="1" t="inlineStr">
        <is>
          <t>Capital-Labor Ratio (Normalized)</t>
        </is>
      </c>
      <c r="D1" s="1" t="inlineStr">
        <is>
          <t>Capital Deepening (%)</t>
        </is>
      </c>
      <c r="E1" s="1" t="inlineStr">
        <is>
          <t>Capital-Labor Ratio ($)</t>
        </is>
      </c>
    </row>
    <row r="2">
      <c r="A2" s="2" t="n">
        <v>1960</v>
      </c>
      <c r="B2" s="3" t="n">
        <v>2.645778970900464</v>
      </c>
      <c r="C2" s="3" t="n">
        <v>0.2063013580843426</v>
      </c>
      <c r="D2" s="3" t="n">
        <v>10.49938104827823</v>
      </c>
      <c r="E2" s="3" t="n">
        <v>5275.800686199917</v>
      </c>
    </row>
    <row r="3">
      <c r="A3" s="2" t="n">
        <v>1961</v>
      </c>
      <c r="B3" s="3" t="n">
        <v>0</v>
      </c>
      <c r="C3" s="3" t="n">
        <v>0</v>
      </c>
      <c r="D3" s="3" t="n">
        <v>10.26953264926049</v>
      </c>
      <c r="E3" s="3" t="n">
        <v>5233.257629524485</v>
      </c>
    </row>
    <row r="4">
      <c r="A4" s="2" t="n">
        <v>1962</v>
      </c>
      <c r="B4" s="3" t="n">
        <v>6.411851079161567</v>
      </c>
      <c r="C4" s="3" t="n">
        <v>2.948420290741331</v>
      </c>
      <c r="D4" s="3" t="n">
        <v>10.82655336848705</v>
      </c>
      <c r="E4" s="3" t="n">
        <v>5841.275010974384</v>
      </c>
    </row>
    <row r="5">
      <c r="A5" s="2" t="n">
        <v>1963</v>
      </c>
      <c r="B5" s="3" t="n">
        <v>9.314928662619648</v>
      </c>
      <c r="C5" s="3" t="n">
        <v>4.368736381176398</v>
      </c>
      <c r="D5" s="3" t="n">
        <v>11.07875422960246</v>
      </c>
      <c r="E5" s="3" t="n">
        <v>6134.169776639002</v>
      </c>
    </row>
    <row r="6">
      <c r="A6" s="2" t="n">
        <v>1964</v>
      </c>
      <c r="B6" s="3" t="n">
        <v>11.87665558554328</v>
      </c>
      <c r="C6" s="3" t="n">
        <v>6.159356436618913</v>
      </c>
      <c r="D6" s="3" t="n">
        <v>11.30130072287747</v>
      </c>
      <c r="E6" s="3" t="n">
        <v>6503.427891128536</v>
      </c>
    </row>
    <row r="7">
      <c r="A7" s="2" t="n">
        <v>1965</v>
      </c>
      <c r="B7" s="3" t="n">
        <v>20.84449810006524</v>
      </c>
      <c r="C7" s="3" t="n">
        <v>9.87426923052295</v>
      </c>
      <c r="D7" s="3" t="n">
        <v>12.08036967280741</v>
      </c>
      <c r="E7" s="3" t="n">
        <v>7269.509835536923</v>
      </c>
    </row>
    <row r="8">
      <c r="A8" s="2" t="n">
        <v>1966</v>
      </c>
      <c r="B8" s="3" t="n">
        <v>23.95604744924728</v>
      </c>
      <c r="C8" s="3" t="n">
        <v>12.37004506040999</v>
      </c>
      <c r="D8" s="3" t="n">
        <v>12.35068123104419</v>
      </c>
      <c r="E8" s="3" t="n">
        <v>7784.183774506568</v>
      </c>
    </row>
    <row r="9">
      <c r="A9" s="2" t="n">
        <v>1967</v>
      </c>
      <c r="B9" s="3" t="n">
        <v>15.3198510449661</v>
      </c>
      <c r="C9" s="3" t="n">
        <v>10.29450256364656</v>
      </c>
      <c r="D9" s="3" t="n">
        <v>11.60042357953248</v>
      </c>
      <c r="E9" s="3" t="n">
        <v>7356.169519573874</v>
      </c>
    </row>
    <row r="10">
      <c r="A10" s="2" t="n">
        <v>1968</v>
      </c>
      <c r="B10" s="3" t="n">
        <v>16.67255380059134</v>
      </c>
      <c r="C10" s="3" t="n">
        <v>11.77255544534933</v>
      </c>
      <c r="D10" s="3" t="n">
        <v>11.71793776576911</v>
      </c>
      <c r="E10" s="3" t="n">
        <v>7660.970651759624</v>
      </c>
    </row>
    <row r="11">
      <c r="A11" s="2" t="n">
        <v>1969</v>
      </c>
      <c r="B11" s="3" t="n">
        <v>19.87350835449856</v>
      </c>
      <c r="C11" s="3" t="n">
        <v>12.87221031810542</v>
      </c>
      <c r="D11" s="3" t="n">
        <v>11.99601627785802</v>
      </c>
      <c r="E11" s="3" t="n">
        <v>7887.739297441299</v>
      </c>
    </row>
    <row r="12">
      <c r="A12" s="2" t="n">
        <v>1970</v>
      </c>
      <c r="B12" s="3" t="n">
        <v>11.23893594935926</v>
      </c>
      <c r="C12" s="3" t="n">
        <v>9.639389879219994</v>
      </c>
      <c r="D12" s="3" t="n">
        <v>11.24589970903194</v>
      </c>
      <c r="E12" s="3" t="n">
        <v>7221.073481810716</v>
      </c>
    </row>
    <row r="13">
      <c r="A13" s="2" t="n">
        <v>1971</v>
      </c>
      <c r="B13" s="3" t="n">
        <v>20.0272083477083</v>
      </c>
      <c r="C13" s="3" t="n">
        <v>12.52462740703834</v>
      </c>
      <c r="D13" s="3" t="n">
        <v>12.00936875278388</v>
      </c>
      <c r="E13" s="3" t="n">
        <v>7816.061439271831</v>
      </c>
    </row>
    <row r="14">
      <c r="A14" s="2" t="n">
        <v>1972</v>
      </c>
      <c r="B14" s="3" t="n">
        <v>27.91927409455574</v>
      </c>
      <c r="C14" s="3" t="n">
        <v>15.51699059308635</v>
      </c>
      <c r="D14" s="3" t="n">
        <v>12.6949810797419</v>
      </c>
      <c r="E14" s="3" t="n">
        <v>8433.140637390674</v>
      </c>
    </row>
    <row r="15">
      <c r="A15" s="2" t="n">
        <v>1973</v>
      </c>
      <c r="B15" s="3" t="n">
        <v>35.24531267131776</v>
      </c>
      <c r="C15" s="3" t="n">
        <v>18.77384842253415</v>
      </c>
      <c r="D15" s="3" t="n">
        <v>13.33142057696789</v>
      </c>
      <c r="E15" s="3" t="n">
        <v>9104.763396002729</v>
      </c>
    </row>
    <row r="16">
      <c r="A16" s="2" t="n">
        <v>1974</v>
      </c>
      <c r="B16" s="3" t="n">
        <v>25.86090140799678</v>
      </c>
      <c r="C16" s="3" t="n">
        <v>14.7000741132244</v>
      </c>
      <c r="D16" s="3" t="n">
        <v>12.51616279152094</v>
      </c>
      <c r="E16" s="3" t="n">
        <v>8264.677742019658</v>
      </c>
    </row>
    <row r="17">
      <c r="A17" s="2" t="n">
        <v>1975</v>
      </c>
      <c r="B17" s="3" t="n">
        <v>2.77086941104673</v>
      </c>
      <c r="C17" s="3" t="n">
        <v>7.565286913122931</v>
      </c>
      <c r="D17" s="3" t="n">
        <v>10.51024810774022</v>
      </c>
      <c r="E17" s="3" t="n">
        <v>6793.356084035406</v>
      </c>
    </row>
    <row r="18">
      <c r="A18" s="2" t="n">
        <v>1976</v>
      </c>
      <c r="B18" s="3" t="n">
        <v>18.49380294876223</v>
      </c>
      <c r="C18" s="3" t="n">
        <v>12.88068208692313</v>
      </c>
      <c r="D18" s="3" t="n">
        <v>11.87615627363526</v>
      </c>
      <c r="E18" s="3" t="n">
        <v>7889.486328795332</v>
      </c>
    </row>
    <row r="19">
      <c r="A19" s="2" t="n">
        <v>1977</v>
      </c>
      <c r="B19" s="3" t="n">
        <v>31.09262164782828</v>
      </c>
      <c r="C19" s="3" t="n">
        <v>17.08751582502911</v>
      </c>
      <c r="D19" s="3" t="n">
        <v>12.97066127172647</v>
      </c>
      <c r="E19" s="3" t="n">
        <v>8757.01123413885</v>
      </c>
    </row>
    <row r="20">
      <c r="A20" s="2" t="n">
        <v>1978</v>
      </c>
      <c r="B20" s="3" t="n">
        <v>39.62668588698371</v>
      </c>
      <c r="C20" s="3" t="n">
        <v>20.49395235582146</v>
      </c>
      <c r="D20" s="3" t="n">
        <v>13.71204633225436</v>
      </c>
      <c r="E20" s="3" t="n">
        <v>9459.479815715082</v>
      </c>
    </row>
    <row r="21">
      <c r="A21" s="2" t="n">
        <v>1979</v>
      </c>
      <c r="B21" s="3" t="n">
        <v>40.14522496444513</v>
      </c>
      <c r="C21" s="3" t="n">
        <v>20.86769203924207</v>
      </c>
      <c r="D21" s="3" t="n">
        <v>13.75709369943564</v>
      </c>
      <c r="E21" s="3" t="n">
        <v>9536.55167157325</v>
      </c>
    </row>
    <row r="22">
      <c r="A22" s="2" t="n">
        <v>1980</v>
      </c>
      <c r="B22" s="3" t="n">
        <v>24.57810957825073</v>
      </c>
      <c r="C22" s="3" t="n">
        <v>15.43191400936214</v>
      </c>
      <c r="D22" s="3" t="n">
        <v>12.40472202054837</v>
      </c>
      <c r="E22" s="3" t="n">
        <v>8415.596313122815</v>
      </c>
    </row>
    <row r="23">
      <c r="A23" s="2" t="n">
        <v>1981</v>
      </c>
      <c r="B23" s="3" t="n">
        <v>33.3015740761673</v>
      </c>
      <c r="C23" s="3" t="n">
        <v>18.32856309361765</v>
      </c>
      <c r="D23" s="3" t="n">
        <v>13.1625609673338</v>
      </c>
      <c r="E23" s="3" t="n">
        <v>9012.93753910707</v>
      </c>
    </row>
    <row r="24">
      <c r="A24" s="2" t="n">
        <v>1982</v>
      </c>
      <c r="B24" s="3" t="n">
        <v>16.70271909073529</v>
      </c>
      <c r="C24" s="3" t="n">
        <v>12.29519973337901</v>
      </c>
      <c r="D24" s="3" t="n">
        <v>11.72055833374616</v>
      </c>
      <c r="E24" s="3" t="n">
        <v>7768.749319690867</v>
      </c>
    </row>
    <row r="25">
      <c r="A25" s="2" t="n">
        <v>1983</v>
      </c>
      <c r="B25" s="3" t="n">
        <v>22.82940413404723</v>
      </c>
      <c r="C25" s="3" t="n">
        <v>15.34175978187768</v>
      </c>
      <c r="D25" s="3" t="n">
        <v>12.25280564691153</v>
      </c>
      <c r="E25" s="3" t="n">
        <v>8397.004887234902</v>
      </c>
    </row>
    <row r="26">
      <c r="A26" s="2" t="n">
        <v>1984</v>
      </c>
      <c r="B26" s="3" t="n">
        <v>49.20613364903489</v>
      </c>
      <c r="C26" s="3" t="n">
        <v>25.5336159985868</v>
      </c>
      <c r="D26" s="3" t="n">
        <v>14.54424764453262</v>
      </c>
      <c r="E26" s="3" t="n">
        <v>10498.7492513124</v>
      </c>
    </row>
    <row r="27">
      <c r="A27" s="2" t="n">
        <v>1985</v>
      </c>
      <c r="B27" s="3" t="n">
        <v>42.40256686592012</v>
      </c>
      <c r="C27" s="3" t="n">
        <v>24.64857348147262</v>
      </c>
      <c r="D27" s="3" t="n">
        <v>13.95319716378252</v>
      </c>
      <c r="E27" s="3" t="n">
        <v>10316.23753972997</v>
      </c>
    </row>
    <row r="28">
      <c r="A28" s="2" t="n">
        <v>1986</v>
      </c>
      <c r="B28" s="3" t="n">
        <v>37.27255833743771</v>
      </c>
      <c r="C28" s="3" t="n">
        <v>23.71616632576735</v>
      </c>
      <c r="D28" s="3" t="n">
        <v>13.50753474821884</v>
      </c>
      <c r="E28" s="3" t="n">
        <v>10123.95838636865</v>
      </c>
    </row>
    <row r="29">
      <c r="A29" s="2" t="n">
        <v>1987</v>
      </c>
      <c r="B29" s="3" t="n">
        <v>36.35144294184659</v>
      </c>
      <c r="C29" s="3" t="n">
        <v>24.26582238518453</v>
      </c>
      <c r="D29" s="3" t="n">
        <v>13.42751411863649</v>
      </c>
      <c r="E29" s="3" t="n">
        <v>10237.3073681927</v>
      </c>
    </row>
    <row r="30">
      <c r="A30" s="2" t="n">
        <v>1988</v>
      </c>
      <c r="B30" s="3" t="n">
        <v>33.81459506869661</v>
      </c>
      <c r="C30" s="3" t="n">
        <v>24.73051850604963</v>
      </c>
      <c r="D30" s="3" t="n">
        <v>13.20712895849719</v>
      </c>
      <c r="E30" s="3" t="n">
        <v>10333.13608008482</v>
      </c>
    </row>
    <row r="31">
      <c r="A31" s="2" t="n">
        <v>1989</v>
      </c>
      <c r="B31" s="3" t="n">
        <v>34.36139788335215</v>
      </c>
      <c r="C31" s="3" t="n">
        <v>25.83977544838136</v>
      </c>
      <c r="D31" s="3" t="n">
        <v>13.25463169886563</v>
      </c>
      <c r="E31" s="3" t="n">
        <v>10561.88484549984</v>
      </c>
    </row>
    <row r="32">
      <c r="A32" s="2" t="n">
        <v>1990</v>
      </c>
      <c r="B32" s="3" t="n">
        <v>27.67294766414182</v>
      </c>
      <c r="C32" s="3" t="n">
        <v>23.7228693193555</v>
      </c>
      <c r="D32" s="3" t="n">
        <v>12.67358181083505</v>
      </c>
      <c r="E32" s="3" t="n">
        <v>10125.34066440484</v>
      </c>
    </row>
    <row r="33">
      <c r="A33" s="2" t="n">
        <v>1991</v>
      </c>
      <c r="B33" s="3" t="n">
        <v>18.1678266964757</v>
      </c>
      <c r="C33" s="3" t="n">
        <v>20.29441359463717</v>
      </c>
      <c r="D33" s="3" t="n">
        <v>11.84783753630689</v>
      </c>
      <c r="E33" s="3" t="n">
        <v>9418.33132835254</v>
      </c>
    </row>
    <row r="34">
      <c r="A34" s="2" t="n">
        <v>1992</v>
      </c>
      <c r="B34" s="3" t="n">
        <v>23.1266016624133</v>
      </c>
      <c r="C34" s="3" t="n">
        <v>22.95406380228598</v>
      </c>
      <c r="D34" s="3" t="n">
        <v>12.27862427229116</v>
      </c>
      <c r="E34" s="3" t="n">
        <v>9966.799116308481</v>
      </c>
    </row>
    <row r="35">
      <c r="A35" s="2" t="n">
        <v>1993</v>
      </c>
      <c r="B35" s="3" t="n">
        <v>30.33956533360672</v>
      </c>
      <c r="C35" s="3" t="n">
        <v>26.3796312339921</v>
      </c>
      <c r="D35" s="3" t="n">
        <v>12.90524054304968</v>
      </c>
      <c r="E35" s="3" t="n">
        <v>10673.21283430739</v>
      </c>
    </row>
    <row r="36">
      <c r="A36" s="2" t="n">
        <v>1994</v>
      </c>
      <c r="B36" s="3" t="n">
        <v>41.47518980518767</v>
      </c>
      <c r="C36" s="3" t="n">
        <v>31.67862993258852</v>
      </c>
      <c r="D36" s="3" t="n">
        <v>13.87263256067714</v>
      </c>
      <c r="E36" s="3" t="n">
        <v>11765.9618304883</v>
      </c>
    </row>
    <row r="37">
      <c r="A37" s="2" t="n">
        <v>1995</v>
      </c>
      <c r="B37" s="3" t="n">
        <v>42.29000223589759</v>
      </c>
      <c r="C37" s="3" t="n">
        <v>32.94488712546252</v>
      </c>
      <c r="D37" s="3" t="n">
        <v>13.94341826679933</v>
      </c>
      <c r="E37" s="3" t="n">
        <v>12027.08687601557</v>
      </c>
    </row>
    <row r="38">
      <c r="A38" s="2" t="n">
        <v>1996</v>
      </c>
      <c r="B38" s="3" t="n">
        <v>49.97517433823417</v>
      </c>
      <c r="C38" s="3" t="n">
        <v>37.26861057456545</v>
      </c>
      <c r="D38" s="3" t="n">
        <v>14.61105699373982</v>
      </c>
      <c r="E38" s="3" t="n">
        <v>12918.7165456025</v>
      </c>
    </row>
    <row r="39">
      <c r="A39" s="2" t="n">
        <v>1997</v>
      </c>
      <c r="B39" s="3" t="n">
        <v>61.17873907665571</v>
      </c>
      <c r="C39" s="3" t="n">
        <v>43.2099322389096</v>
      </c>
      <c r="D39" s="3" t="n">
        <v>15.58435122834531</v>
      </c>
      <c r="E39" s="3" t="n">
        <v>14143.9241091408</v>
      </c>
    </row>
    <row r="40">
      <c r="A40" s="2" t="n">
        <v>1998</v>
      </c>
      <c r="B40" s="3" t="n">
        <v>69.83720572848846</v>
      </c>
      <c r="C40" s="3" t="n">
        <v>48.99120764837874</v>
      </c>
      <c r="D40" s="3" t="n">
        <v>16.33654357689776</v>
      </c>
      <c r="E40" s="3" t="n">
        <v>15336.12725159791</v>
      </c>
    </row>
    <row r="41">
      <c r="A41" s="2" t="n">
        <v>1999</v>
      </c>
      <c r="B41" s="3" t="n">
        <v>76.47392835611106</v>
      </c>
      <c r="C41" s="3" t="n">
        <v>54.31856935811344</v>
      </c>
      <c r="D41" s="3" t="n">
        <v>16.91309970175226</v>
      </c>
      <c r="E41" s="3" t="n">
        <v>16434.7252116516</v>
      </c>
    </row>
    <row r="42">
      <c r="A42" s="2" t="n">
        <v>2000</v>
      </c>
      <c r="B42" s="3" t="n">
        <v>81.44152633354666</v>
      </c>
      <c r="C42" s="3" t="n">
        <v>57.7720775499195</v>
      </c>
      <c r="D42" s="3" t="n">
        <v>17.34465292469165</v>
      </c>
      <c r="E42" s="3" t="n">
        <v>17146.90081775209</v>
      </c>
    </row>
    <row r="43">
      <c r="A43" s="2" t="n">
        <v>2001</v>
      </c>
      <c r="B43" s="3" t="n">
        <v>68.42871986513366</v>
      </c>
      <c r="C43" s="3" t="n">
        <v>52.44969248806984</v>
      </c>
      <c r="D43" s="3" t="n">
        <v>16.21418331011363</v>
      </c>
      <c r="E43" s="3" t="n">
        <v>16049.32913214949</v>
      </c>
    </row>
    <row r="44">
      <c r="A44" s="2" t="n">
        <v>2002</v>
      </c>
      <c r="B44" s="3" t="n">
        <v>63.74032415681504</v>
      </c>
      <c r="C44" s="3" t="n">
        <v>51.20582785980027</v>
      </c>
      <c r="D44" s="3" t="n">
        <v>15.8068853992258</v>
      </c>
      <c r="E44" s="3" t="n">
        <v>15792.82183685867</v>
      </c>
    </row>
    <row r="45">
      <c r="A45" s="2" t="n">
        <v>2003</v>
      </c>
      <c r="B45" s="3" t="n">
        <v>66.42834224936995</v>
      </c>
      <c r="C45" s="3" t="n">
        <v>53.61332006719143</v>
      </c>
      <c r="D45" s="3" t="n">
        <v>16.04040326368074</v>
      </c>
      <c r="E45" s="3" t="n">
        <v>16289.29010238908</v>
      </c>
    </row>
    <row r="46">
      <c r="A46" s="2" t="n">
        <v>2004</v>
      </c>
      <c r="B46" s="3" t="n">
        <v>76.02251188058969</v>
      </c>
      <c r="C46" s="3" t="n">
        <v>60.39983081115922</v>
      </c>
      <c r="D46" s="3" t="n">
        <v>16.8738835180385</v>
      </c>
      <c r="E46" s="3" t="n">
        <v>17688.79088071651</v>
      </c>
    </row>
    <row r="47">
      <c r="A47" s="2" t="n">
        <v>2005</v>
      </c>
      <c r="B47" s="3" t="n">
        <v>82.1024785236405</v>
      </c>
      <c r="C47" s="3" t="n">
        <v>64.99587201244653</v>
      </c>
      <c r="D47" s="3" t="n">
        <v>17.40207223461558</v>
      </c>
      <c r="E47" s="3" t="n">
        <v>18636.57737676587</v>
      </c>
    </row>
    <row r="48">
      <c r="A48" s="2" t="n">
        <v>2006</v>
      </c>
      <c r="B48" s="3" t="n">
        <v>82.6764960389432</v>
      </c>
      <c r="C48" s="3" t="n">
        <v>66.47417539128706</v>
      </c>
      <c r="D48" s="3" t="n">
        <v>17.45193921456801</v>
      </c>
      <c r="E48" s="3" t="n">
        <v>18941.43016597428</v>
      </c>
    </row>
    <row r="49">
      <c r="A49" s="2" t="n">
        <v>2007</v>
      </c>
      <c r="B49" s="3" t="n">
        <v>73.7939517647974</v>
      </c>
      <c r="C49" s="3" t="n">
        <v>63.16966474734917</v>
      </c>
      <c r="D49" s="3" t="n">
        <v>16.68028043162674</v>
      </c>
      <c r="E49" s="3" t="n">
        <v>18259.98053852132</v>
      </c>
    </row>
    <row r="50">
      <c r="A50" s="2" t="n">
        <v>2008</v>
      </c>
      <c r="B50" s="3" t="n">
        <v>57.67872734826918</v>
      </c>
      <c r="C50" s="3" t="n">
        <v>55.19904813169714</v>
      </c>
      <c r="D50" s="3" t="n">
        <v>15.28029253668552</v>
      </c>
      <c r="E50" s="3" t="n">
        <v>16616.29579709957</v>
      </c>
    </row>
    <row r="51">
      <c r="A51" s="2" t="n">
        <v>2009</v>
      </c>
      <c r="B51" s="3" t="n">
        <v>24.38295645877946</v>
      </c>
      <c r="C51" s="3" t="n">
        <v>38.31797017381466</v>
      </c>
      <c r="D51" s="3" t="n">
        <v>12.38776836245102</v>
      </c>
      <c r="E51" s="3" t="n">
        <v>13135.11339978857</v>
      </c>
    </row>
    <row r="52">
      <c r="A52" s="2" t="n">
        <v>2010</v>
      </c>
      <c r="B52" s="3" t="n">
        <v>40.09457476362417</v>
      </c>
      <c r="C52" s="3" t="n">
        <v>47.38544827362294</v>
      </c>
      <c r="D52" s="3" t="n">
        <v>13.75269353309647</v>
      </c>
      <c r="E52" s="3" t="n">
        <v>15004.99073983819</v>
      </c>
    </row>
    <row r="53">
      <c r="A53" s="2" t="n">
        <v>2011</v>
      </c>
      <c r="B53" s="3" t="n">
        <v>48.05831189884234</v>
      </c>
      <c r="C53" s="3" t="n">
        <v>52.37326774648093</v>
      </c>
      <c r="D53" s="3" t="n">
        <v>14.44453221306946</v>
      </c>
      <c r="E53" s="3" t="n">
        <v>16033.56897359788</v>
      </c>
    </row>
    <row r="54">
      <c r="A54" s="2" t="n">
        <v>2012</v>
      </c>
      <c r="B54" s="3" t="n">
        <v>62.29587752495059</v>
      </c>
      <c r="C54" s="3" t="n">
        <v>60.21103311968155</v>
      </c>
      <c r="D54" s="3" t="n">
        <v>15.68140109027477</v>
      </c>
      <c r="E54" s="3" t="n">
        <v>17649.85739543407</v>
      </c>
    </row>
    <row r="55">
      <c r="A55" s="2" t="n">
        <v>2013</v>
      </c>
      <c r="B55" s="3" t="n">
        <v>71.69667565764637</v>
      </c>
      <c r="C55" s="3" t="n">
        <v>66.32456592981116</v>
      </c>
      <c r="D55" s="3" t="n">
        <v>16.49808246239775</v>
      </c>
      <c r="E55" s="3" t="n">
        <v>18910.57799971686</v>
      </c>
    </row>
    <row r="56">
      <c r="A56" s="2" t="n">
        <v>2014</v>
      </c>
      <c r="B56" s="3" t="n">
        <v>79.01865516678087</v>
      </c>
      <c r="C56" s="3" t="n">
        <v>71.93688201935754</v>
      </c>
      <c r="D56" s="3" t="n">
        <v>17.1341693337219</v>
      </c>
      <c r="E56" s="3" t="n">
        <v>20067.9386865059</v>
      </c>
    </row>
    <row r="57">
      <c r="A57" s="2" t="n">
        <v>2015</v>
      </c>
      <c r="B57" s="3" t="n">
        <v>85.27805274226723</v>
      </c>
      <c r="C57" s="3" t="n">
        <v>77.1815323729917</v>
      </c>
      <c r="D57" s="3" t="n">
        <v>17.67794586508176</v>
      </c>
      <c r="E57" s="3" t="n">
        <v>21149.48007483868</v>
      </c>
    </row>
    <row r="58">
      <c r="A58" s="2" t="n">
        <v>2016</v>
      </c>
      <c r="B58" s="3" t="n">
        <v>81.45243660619127</v>
      </c>
      <c r="C58" s="3" t="n">
        <v>75.7648686485977</v>
      </c>
      <c r="D58" s="3" t="n">
        <v>17.34560073958012</v>
      </c>
      <c r="E58" s="3" t="n">
        <v>20857.33849285122</v>
      </c>
    </row>
    <row r="59">
      <c r="A59" s="2" t="n">
        <v>2017</v>
      </c>
      <c r="B59" s="3" t="n">
        <v>85.31603010924265</v>
      </c>
      <c r="C59" s="3" t="n">
        <v>79.51059930073107</v>
      </c>
      <c r="D59" s="3" t="n">
        <v>17.68124509645906</v>
      </c>
      <c r="E59" s="3" t="n">
        <v>21629.77563482806</v>
      </c>
    </row>
    <row r="60">
      <c r="A60" s="2" t="n">
        <v>2018</v>
      </c>
      <c r="B60" s="3" t="n">
        <v>90.87653844118061</v>
      </c>
      <c r="C60" s="3" t="n">
        <v>84.36857926430049</v>
      </c>
      <c r="D60" s="3" t="n">
        <v>18.16430658869921</v>
      </c>
      <c r="E60" s="3" t="n">
        <v>22631.57862263848</v>
      </c>
    </row>
    <row r="61">
      <c r="A61" s="2" t="n">
        <v>2019</v>
      </c>
      <c r="B61" s="3" t="n">
        <v>92.05064894172965</v>
      </c>
      <c r="C61" s="3" t="n">
        <v>86.82637932912216</v>
      </c>
      <c r="D61" s="3" t="n">
        <v>18.26630581909194</v>
      </c>
      <c r="E61" s="3" t="n">
        <v>23138.42127469625</v>
      </c>
    </row>
    <row r="62">
      <c r="A62" s="2" t="n">
        <v>2020</v>
      </c>
      <c r="B62" s="3" t="n">
        <v>87.13234250711926</v>
      </c>
      <c r="C62" s="3" t="n">
        <v>83.77249640665504</v>
      </c>
      <c r="D62" s="3" t="n">
        <v>17.8390347309522</v>
      </c>
      <c r="E62" s="3" t="n">
        <v>22508.65559861411</v>
      </c>
    </row>
    <row r="63">
      <c r="A63" s="2" t="n">
        <v>2021</v>
      </c>
      <c r="B63" s="3" t="n">
        <v>92.64846237942137</v>
      </c>
      <c r="C63" s="3" t="n">
        <v>93.26849084186267</v>
      </c>
      <c r="D63" s="3" t="n">
        <v>18.3182400369824</v>
      </c>
      <c r="E63" s="3" t="n">
        <v>24466.90072699302</v>
      </c>
    </row>
    <row r="64">
      <c r="A64" s="2" t="n">
        <v>2022</v>
      </c>
      <c r="B64" s="3" t="n">
        <v>100</v>
      </c>
      <c r="C64" s="3" t="n">
        <v>98.14889022447812</v>
      </c>
      <c r="D64" s="3" t="n">
        <v>18.95689472847148</v>
      </c>
      <c r="E64" s="3" t="n">
        <v>25473.32700290956</v>
      </c>
    </row>
    <row r="65">
      <c r="A65" s="2" t="n">
        <v>2023</v>
      </c>
      <c r="B65" s="3" t="n">
        <v>95.53143923831347</v>
      </c>
      <c r="C65" s="3" t="n">
        <v>97.05920729340689</v>
      </c>
      <c r="D65" s="3" t="n">
        <v>18.56869467537422</v>
      </c>
      <c r="E65" s="3" t="n">
        <v>25248.6147512536</v>
      </c>
    </row>
    <row r="66">
      <c r="A66" s="2" t="n">
        <v>2024</v>
      </c>
      <c r="B66" s="3" t="n">
        <v>95.98173396531251</v>
      </c>
      <c r="C66" s="3" t="n">
        <v>100</v>
      </c>
      <c r="D66" s="3" t="n">
        <v>18.60781340873222</v>
      </c>
      <c r="E66" s="3" t="n">
        <v>25855.0591874368</v>
      </c>
    </row>
    <row r="67">
      <c r="A67" s="2" t="n">
        <v>2025</v>
      </c>
      <c r="B67" s="3" t="n">
        <v/>
      </c>
      <c r="C67" s="3" t="n">
        <v/>
      </c>
      <c r="D67" s="3" t="n">
        <v/>
      </c>
      <c r="E67" s="3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Capital-Labor Ratio ($)</t>
        </is>
      </c>
      <c r="B1" t="inlineStr">
        <is>
          <t>Real Exports (Billions $)</t>
        </is>
      </c>
    </row>
    <row r="2">
      <c r="A2" t="n">
        <v>5275.800686199917</v>
      </c>
      <c r="B2" t="n">
        <v>108.258</v>
      </c>
    </row>
    <row r="3">
      <c r="A3" t="n">
        <v>5233.257629524485</v>
      </c>
      <c r="B3" t="n">
        <v>108.84</v>
      </c>
    </row>
    <row r="4">
      <c r="A4" t="n">
        <v>5841.275010974384</v>
      </c>
      <c r="B4" t="n">
        <v>114.334</v>
      </c>
    </row>
    <row r="5">
      <c r="A5" t="n">
        <v>6134.169776639002</v>
      </c>
      <c r="B5" t="n">
        <v>122.475</v>
      </c>
    </row>
    <row r="6">
      <c r="A6" t="n">
        <v>6503.427891128536</v>
      </c>
      <c r="B6" t="n">
        <v>136.928</v>
      </c>
    </row>
    <row r="7">
      <c r="A7" t="n">
        <v>7269.509835536923</v>
      </c>
      <c r="B7" t="n">
        <v>140.763</v>
      </c>
    </row>
    <row r="8">
      <c r="A8" t="n">
        <v>7784.183774506568</v>
      </c>
      <c r="B8" t="n">
        <v>150.502</v>
      </c>
    </row>
    <row r="9">
      <c r="A9" t="n">
        <v>7356.169519573874</v>
      </c>
      <c r="B9" t="n">
        <v>153.933</v>
      </c>
    </row>
    <row r="10">
      <c r="A10" t="n">
        <v>7660.970651759624</v>
      </c>
      <c r="B10" t="n">
        <v>166.098</v>
      </c>
    </row>
    <row r="11">
      <c r="A11" t="n">
        <v>7887.739297441299</v>
      </c>
      <c r="B11" t="n">
        <v>174.199</v>
      </c>
    </row>
    <row r="12">
      <c r="A12" t="n">
        <v>7221.073481810716</v>
      </c>
      <c r="B12" t="n">
        <v>192.762</v>
      </c>
    </row>
    <row r="13">
      <c r="A13" t="n">
        <v>7816.061439271831</v>
      </c>
      <c r="B13" t="n">
        <v>196.102</v>
      </c>
    </row>
    <row r="14">
      <c r="A14" t="n">
        <v>8433.140637390674</v>
      </c>
      <c r="B14" t="n">
        <v>211.387</v>
      </c>
    </row>
    <row r="15">
      <c r="A15" t="n">
        <v>9104.763396002729</v>
      </c>
      <c r="B15" t="n">
        <v>251.168</v>
      </c>
    </row>
    <row r="16">
      <c r="A16" t="n">
        <v>8264.677742019658</v>
      </c>
      <c r="B16" t="n">
        <v>271.117</v>
      </c>
    </row>
    <row r="17">
      <c r="A17" t="n">
        <v>6793.356084035406</v>
      </c>
      <c r="B17" t="n">
        <v>269.381</v>
      </c>
    </row>
    <row r="18">
      <c r="A18" t="n">
        <v>7889.486328795332</v>
      </c>
      <c r="B18" t="n">
        <v>281.144</v>
      </c>
    </row>
    <row r="19">
      <c r="A19" t="n">
        <v>8757.01123413885</v>
      </c>
      <c r="B19" t="n">
        <v>287.901</v>
      </c>
    </row>
    <row r="20">
      <c r="A20" t="n">
        <v>9459.479815715082</v>
      </c>
      <c r="B20" t="n">
        <v>318.29</v>
      </c>
    </row>
    <row r="21">
      <c r="A21" t="n">
        <v>9536.55167157325</v>
      </c>
      <c r="B21" t="n">
        <v>349.81</v>
      </c>
    </row>
    <row r="22">
      <c r="A22" t="n">
        <v>8415.596313122815</v>
      </c>
      <c r="B22" t="n">
        <v>387.475</v>
      </c>
    </row>
    <row r="23">
      <c r="A23" t="n">
        <v>9012.93753910707</v>
      </c>
      <c r="B23" t="n">
        <v>392.197</v>
      </c>
    </row>
    <row r="24">
      <c r="A24" t="n">
        <v>7768.749319690867</v>
      </c>
      <c r="B24" t="n">
        <v>362.167</v>
      </c>
    </row>
    <row r="25">
      <c r="A25" t="n">
        <v>8397.004887234902</v>
      </c>
      <c r="B25" t="n">
        <v>352.782</v>
      </c>
    </row>
    <row r="26">
      <c r="A26" t="n">
        <v>10498.7492513124</v>
      </c>
      <c r="B26" t="n">
        <v>381.544</v>
      </c>
    </row>
    <row r="27">
      <c r="A27" t="n">
        <v>10316.23753972997</v>
      </c>
      <c r="B27" t="n">
        <v>394.328</v>
      </c>
    </row>
    <row r="28">
      <c r="A28" t="n">
        <v>10123.95838636865</v>
      </c>
      <c r="B28" t="n">
        <v>424.543</v>
      </c>
    </row>
    <row r="29">
      <c r="A29" t="n">
        <v>10237.3073681927</v>
      </c>
      <c r="B29" t="n">
        <v>470.94</v>
      </c>
    </row>
    <row r="30">
      <c r="A30" t="n">
        <v>10333.13608008482</v>
      </c>
      <c r="B30" t="n">
        <v>547.29</v>
      </c>
    </row>
    <row r="31">
      <c r="A31" t="n">
        <v>10561.88484549984</v>
      </c>
      <c r="B31" t="n">
        <v>610.649</v>
      </c>
    </row>
    <row r="32">
      <c r="A32" t="n">
        <v>10125.34066440484</v>
      </c>
      <c r="B32" t="n">
        <v>664.52</v>
      </c>
    </row>
    <row r="33">
      <c r="A33" t="n">
        <v>9418.33132835254</v>
      </c>
      <c r="B33" t="n">
        <v>708.472</v>
      </c>
    </row>
    <row r="34">
      <c r="A34" t="n">
        <v>9966.799116308481</v>
      </c>
      <c r="B34" t="n">
        <v>757.551</v>
      </c>
    </row>
    <row r="35">
      <c r="A35" t="n">
        <v>10673.21283430739</v>
      </c>
      <c r="B35" t="n">
        <v>782.282</v>
      </c>
    </row>
    <row r="36">
      <c r="A36" t="n">
        <v>11765.9618304883</v>
      </c>
      <c r="B36" t="n">
        <v>851.405</v>
      </c>
    </row>
    <row r="37">
      <c r="A37" t="n">
        <v>12027.08687601557</v>
      </c>
      <c r="B37" t="n">
        <v>938.915</v>
      </c>
    </row>
    <row r="38">
      <c r="A38" t="n">
        <v>12918.7165456025</v>
      </c>
      <c r="B38" t="n">
        <v>1015.685</v>
      </c>
    </row>
    <row r="39">
      <c r="A39" t="n">
        <v>14143.9241091408</v>
      </c>
      <c r="B39" t="n">
        <v>1136.649</v>
      </c>
    </row>
    <row r="40">
      <c r="A40" t="n">
        <v>15336.12725159791</v>
      </c>
      <c r="B40" t="n">
        <v>1163.198</v>
      </c>
    </row>
    <row r="41">
      <c r="A41" t="n">
        <v>16434.7252116516</v>
      </c>
      <c r="B41" t="n">
        <v>1221.122</v>
      </c>
    </row>
    <row r="42">
      <c r="A42" t="n">
        <v>17146.90081775209</v>
      </c>
      <c r="B42" t="n">
        <v>1322.64</v>
      </c>
    </row>
    <row r="43">
      <c r="A43" t="n">
        <v>16049.32913214949</v>
      </c>
      <c r="B43" t="n">
        <v>1248.809</v>
      </c>
    </row>
    <row r="44">
      <c r="A44" t="n">
        <v>15792.82183685867</v>
      </c>
      <c r="B44" t="n">
        <v>1224.411</v>
      </c>
    </row>
    <row r="45">
      <c r="A45" t="n">
        <v>16289.29010238908</v>
      </c>
      <c r="B45" t="n">
        <v>1250.203</v>
      </c>
    </row>
    <row r="46">
      <c r="A46" t="n">
        <v>17688.79088071651</v>
      </c>
      <c r="B46" t="n">
        <v>1370.771</v>
      </c>
    </row>
    <row r="47">
      <c r="A47" t="n">
        <v>18636.57737676587</v>
      </c>
      <c r="B47" t="n">
        <v>1466.005</v>
      </c>
    </row>
    <row r="48">
      <c r="A48" t="n">
        <v>18941.43016597428</v>
      </c>
      <c r="B48" t="n">
        <v>1604.922</v>
      </c>
    </row>
    <row r="49">
      <c r="A49" t="n">
        <v>18259.98053852132</v>
      </c>
      <c r="B49" t="n">
        <v>1745.535</v>
      </c>
    </row>
    <row r="50">
      <c r="A50" t="n">
        <v>16616.29579709957</v>
      </c>
      <c r="B50" t="n">
        <v>1846.597</v>
      </c>
    </row>
    <row r="51">
      <c r="A51" t="n">
        <v>13135.11339978857</v>
      </c>
      <c r="B51" t="n">
        <v>1693.098</v>
      </c>
    </row>
    <row r="52">
      <c r="A52" t="n">
        <v>15004.99073983819</v>
      </c>
      <c r="B52" t="n">
        <v>1907.258</v>
      </c>
    </row>
    <row r="53">
      <c r="A53" t="n">
        <v>16033.56897359788</v>
      </c>
      <c r="B53" t="n">
        <v>2044.164</v>
      </c>
    </row>
    <row r="54">
      <c r="A54" t="n">
        <v>17649.85739543407</v>
      </c>
      <c r="B54" t="n">
        <v>2126.302</v>
      </c>
    </row>
    <row r="55">
      <c r="A55" t="n">
        <v>18910.57799971686</v>
      </c>
      <c r="B55" t="n">
        <v>2190.311</v>
      </c>
    </row>
    <row r="56">
      <c r="A56" t="n">
        <v>20067.9386865059</v>
      </c>
      <c r="B56" t="n">
        <v>2275.784</v>
      </c>
    </row>
    <row r="57">
      <c r="A57" t="n">
        <v>21149.48007483868</v>
      </c>
      <c r="B57" t="n">
        <v>2283.058</v>
      </c>
    </row>
    <row r="58">
      <c r="A58" t="n">
        <v>20857.33849285122</v>
      </c>
      <c r="B58" t="n">
        <v>2293.881</v>
      </c>
    </row>
    <row r="59">
      <c r="A59" t="n">
        <v>21629.77563482806</v>
      </c>
      <c r="B59" t="n">
        <v>2388.26</v>
      </c>
    </row>
    <row r="60">
      <c r="A60" t="n">
        <v>22631.57862263848</v>
      </c>
      <c r="B60" t="n">
        <v>2456.423</v>
      </c>
    </row>
    <row r="61">
      <c r="A61" t="n">
        <v>23138.42127469625</v>
      </c>
      <c r="B61" t="n">
        <v>2469.535</v>
      </c>
    </row>
    <row r="62">
      <c r="A62" t="n">
        <v>22508.65559861411</v>
      </c>
      <c r="B62" t="n">
        <v>2157.811</v>
      </c>
    </row>
    <row r="63">
      <c r="A63" t="n">
        <v>24466.90072699302</v>
      </c>
      <c r="B63" t="n">
        <v>2297.169</v>
      </c>
    </row>
    <row r="64">
      <c r="A64" t="n">
        <v>25473.32700290956</v>
      </c>
      <c r="B64" t="n">
        <v>2472.061</v>
      </c>
    </row>
    <row r="65">
      <c r="A65" t="n">
        <v>25248.6147512536</v>
      </c>
      <c r="B65" t="n">
        <v>2541.04</v>
      </c>
    </row>
    <row r="66">
      <c r="A66" t="n">
        <v>25855.0591874368</v>
      </c>
      <c r="B66" t="n">
        <v>2633.598</v>
      </c>
    </row>
    <row r="67">
      <c r="A67" t="n">
        <v/>
      </c>
      <c r="B67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Summary Statistics</t>
        </is>
      </c>
    </row>
    <row r="3">
      <c r="A3" s="5" t="inlineStr">
        <is>
          <t>Variable</t>
        </is>
      </c>
      <c r="B3" s="5" t="inlineStr">
        <is>
          <t>Mean</t>
        </is>
      </c>
      <c r="C3" s="5" t="inlineStr">
        <is>
          <t>Std Dev</t>
        </is>
      </c>
      <c r="D3" s="5" t="inlineStr">
        <is>
          <t>Min</t>
        </is>
      </c>
      <c r="E3" s="5" t="inlineStr">
        <is>
          <t>Max</t>
        </is>
      </c>
    </row>
    <row r="4">
      <c r="A4" s="2" t="inlineStr">
        <is>
          <t>Capital Deepening (%)</t>
        </is>
      </c>
      <c r="B4" s="3" t="n">
        <v>14.32562459153546</v>
      </c>
      <c r="C4" s="3" t="n">
        <v>2.503142392411091</v>
      </c>
      <c r="D4" s="3" t="n">
        <v>10.26953264926049</v>
      </c>
      <c r="E4" s="3" t="n">
        <v>18.95689472847148</v>
      </c>
    </row>
    <row r="5">
      <c r="A5" s="2" t="inlineStr">
        <is>
          <t>Capital-Labor Ratio ($)</t>
        </is>
      </c>
      <c r="B5" s="3" t="n">
        <v>13198.16166788339</v>
      </c>
      <c r="C5" s="3" t="n">
        <v>5863.9613969971</v>
      </c>
      <c r="D5" s="3" t="n">
        <v>5233.257629524485</v>
      </c>
      <c r="E5" s="3" t="n">
        <v>25855.0591874368</v>
      </c>
    </row>
    <row r="6">
      <c r="A6" s="2" t="inlineStr">
        <is>
          <t>Real Exports (Billions $)</t>
        </is>
      </c>
      <c r="B6" s="3" t="n">
        <v>1028.903876923077</v>
      </c>
      <c r="C6" s="3" t="n">
        <v>841.2832447198132</v>
      </c>
      <c r="D6" s="3" t="n">
        <v>108.258</v>
      </c>
      <c r="E6" s="3" t="n">
        <v>2633.598</v>
      </c>
    </row>
    <row r="7">
      <c r="A7" s="2" t="inlineStr">
        <is>
          <t>Real GDP (Billions $)</t>
        </is>
      </c>
      <c r="B7" s="3" t="n">
        <v>11619.81383076923</v>
      </c>
      <c r="C7" s="3" t="n">
        <v>5809.887357716425</v>
      </c>
      <c r="D7" s="3" t="n">
        <v>3500.273</v>
      </c>
      <c r="E7" s="3" t="n">
        <v>23358.435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2026-02-05T08:19:12Z</dcterms:created>
  <dcterms:modified xmlns:dcterms="http://purl.org/dc/terms/" xmlns:xsi="http://www.w3.org/2001/XMLSchema-instance" xsi:type="dcterms:W3CDTF">2026-02-05T08:19:12Z</dcterms:modified>
</cp:coreProperties>
</file>