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duta\OneDrive\Desktop\Projects\Resource-Allocation-Constrained-Optimization\"/>
    </mc:Choice>
  </mc:AlternateContent>
  <bookViews>
    <workbookView xWindow="240" yWindow="12" windowWidth="16092" windowHeight="9660"/>
  </bookViews>
  <sheets>
    <sheet name="Data" sheetId="1" r:id="rId1"/>
    <sheet name="Dual-Axis Chart" sheetId="2" r:id="rId2"/>
    <sheet name="Regression Plot" sheetId="3" r:id="rId3"/>
    <sheet name="Summary" sheetId="4" r:id="rId4"/>
  </sheets>
  <calcPr calcId="162913"/>
</workbook>
</file>

<file path=xl/calcChain.xml><?xml version="1.0" encoding="utf-8"?>
<calcChain xmlns="http://schemas.openxmlformats.org/spreadsheetml/2006/main">
  <c r="B67" i="3" l="1"/>
  <c r="A67" i="3"/>
  <c r="C67" i="2"/>
  <c r="B67" i="2"/>
</calcChain>
</file>

<file path=xl/sharedStrings.xml><?xml version="1.0" encoding="utf-8"?>
<sst xmlns="http://schemas.openxmlformats.org/spreadsheetml/2006/main" count="22" uniqueCount="17">
  <si>
    <t>Year</t>
  </si>
  <si>
    <t>Real_GDP</t>
  </si>
  <si>
    <t>Labor_Force</t>
  </si>
  <si>
    <t>Real_Investment</t>
  </si>
  <si>
    <t>Real_Exports</t>
  </si>
  <si>
    <t>Capital_Deepening_Pct</t>
  </si>
  <si>
    <t>Capital_Labor_Ratio</t>
  </si>
  <si>
    <t>Capital Deepening (%)</t>
  </si>
  <si>
    <t>Capital-Labor Ratio ($)</t>
  </si>
  <si>
    <t>Real Exports (Billions $)</t>
  </si>
  <si>
    <t>Summary Statistics</t>
  </si>
  <si>
    <t>Variable</t>
  </si>
  <si>
    <t>Mean</t>
  </si>
  <si>
    <t>Std Dev</t>
  </si>
  <si>
    <t>Min</t>
  </si>
  <si>
    <t>Max</t>
  </si>
  <si>
    <t>Real GDP (Billions 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</si>
</sst>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10" fontId="0" fillId="0" borderId="1" xfId="0" applyNumberForma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U.S. Capital Deepening and Capital-Labor Ratio (1960-Present)
Heckscher-Ohlin Model Analysis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Capital Deepening (%)</c:v>
          </c:tx>
          <c:spPr>
            <a:ln w="31750">
              <a:solidFill>
                <a:srgbClr val="1F77B4"/>
              </a:solidFill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cat>
            <c:numRef>
              <c:f>'Dual-Axis Chart'!$A$2:$A$67</c:f>
              <c:numCache>
                <c:formatCode>General</c:formatCode>
                <c:ptCount val="6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  <c:pt idx="64">
                  <c:v>2024</c:v>
                </c:pt>
                <c:pt idx="65">
                  <c:v>2025</c:v>
                </c:pt>
              </c:numCache>
            </c:numRef>
          </c:cat>
          <c:val>
            <c:numRef>
              <c:f>'Dual-Axis Chart'!$B$2:$B$67</c:f>
              <c:numCache>
                <c:formatCode>0.00%</c:formatCode>
                <c:ptCount val="66"/>
                <c:pt idx="0">
                  <c:v>0.10499381048278229</c:v>
                </c:pt>
                <c:pt idx="1">
                  <c:v>0.1026953264926049</c:v>
                </c:pt>
                <c:pt idx="2">
                  <c:v>0.1082655336848705</c:v>
                </c:pt>
                <c:pt idx="3">
                  <c:v>0.1107875422960246</c:v>
                </c:pt>
                <c:pt idx="4">
                  <c:v>0.11301300722877471</c:v>
                </c:pt>
                <c:pt idx="5">
                  <c:v>0.1208036967280741</c:v>
                </c:pt>
                <c:pt idx="6">
                  <c:v>0.1235068123104419</c:v>
                </c:pt>
                <c:pt idx="7">
                  <c:v>0.1160042357953248</c:v>
                </c:pt>
                <c:pt idx="8">
                  <c:v>0.1171793776576911</c:v>
                </c:pt>
                <c:pt idx="9">
                  <c:v>0.1199601627785802</c:v>
                </c:pt>
                <c:pt idx="10">
                  <c:v>0.1124589970903194</c:v>
                </c:pt>
                <c:pt idx="11">
                  <c:v>0.1200936875278388</c:v>
                </c:pt>
                <c:pt idx="12">
                  <c:v>0.12694981079741899</c:v>
                </c:pt>
                <c:pt idx="13">
                  <c:v>0.1333142057696789</c:v>
                </c:pt>
                <c:pt idx="14">
                  <c:v>0.12516162791520941</c:v>
                </c:pt>
                <c:pt idx="15">
                  <c:v>0.10510248107740219</c:v>
                </c:pt>
                <c:pt idx="16">
                  <c:v>0.1187615627363526</c:v>
                </c:pt>
                <c:pt idx="17">
                  <c:v>0.12970661271726469</c:v>
                </c:pt>
                <c:pt idx="18">
                  <c:v>0.1371204633225436</c:v>
                </c:pt>
                <c:pt idx="19">
                  <c:v>0.13757093699435641</c:v>
                </c:pt>
                <c:pt idx="20">
                  <c:v>0.1240472202054837</c:v>
                </c:pt>
                <c:pt idx="21">
                  <c:v>0.131625609673338</c:v>
                </c:pt>
                <c:pt idx="22">
                  <c:v>0.1172055833374616</c:v>
                </c:pt>
                <c:pt idx="23">
                  <c:v>0.1225280564691153</c:v>
                </c:pt>
                <c:pt idx="24">
                  <c:v>0.14544247644532621</c:v>
                </c:pt>
                <c:pt idx="25">
                  <c:v>0.13953197163782519</c:v>
                </c:pt>
                <c:pt idx="26">
                  <c:v>0.13507534748218841</c:v>
                </c:pt>
                <c:pt idx="27">
                  <c:v>0.13427514118636491</c:v>
                </c:pt>
                <c:pt idx="28">
                  <c:v>0.13207128958497191</c:v>
                </c:pt>
                <c:pt idx="29">
                  <c:v>0.13254631698865629</c:v>
                </c:pt>
                <c:pt idx="30">
                  <c:v>0.1267358181083505</c:v>
                </c:pt>
                <c:pt idx="31">
                  <c:v>0.11847837536306891</c:v>
                </c:pt>
                <c:pt idx="32">
                  <c:v>0.1227862427229116</c:v>
                </c:pt>
                <c:pt idx="33">
                  <c:v>0.12905240543049681</c:v>
                </c:pt>
                <c:pt idx="34">
                  <c:v>0.13872632560677139</c:v>
                </c:pt>
                <c:pt idx="35">
                  <c:v>0.13943418266799329</c:v>
                </c:pt>
                <c:pt idx="36">
                  <c:v>0.14611056993739821</c:v>
                </c:pt>
                <c:pt idx="37">
                  <c:v>0.15584351228345311</c:v>
                </c:pt>
                <c:pt idx="38">
                  <c:v>0.16336543576897761</c:v>
                </c:pt>
                <c:pt idx="39">
                  <c:v>0.1691309970175226</c:v>
                </c:pt>
                <c:pt idx="40">
                  <c:v>0.1734465292469165</c:v>
                </c:pt>
                <c:pt idx="41">
                  <c:v>0.16214183310113631</c:v>
                </c:pt>
                <c:pt idx="42">
                  <c:v>0.15806885399225801</c:v>
                </c:pt>
                <c:pt idx="43">
                  <c:v>0.16040403263680739</c:v>
                </c:pt>
                <c:pt idx="44">
                  <c:v>0.16873883518038499</c:v>
                </c:pt>
                <c:pt idx="45">
                  <c:v>0.17402072234615579</c:v>
                </c:pt>
                <c:pt idx="46">
                  <c:v>0.1745193921456801</c:v>
                </c:pt>
                <c:pt idx="47">
                  <c:v>0.16680280431626751</c:v>
                </c:pt>
                <c:pt idx="48">
                  <c:v>0.15280292536685519</c:v>
                </c:pt>
                <c:pt idx="49">
                  <c:v>0.1238776836245102</c:v>
                </c:pt>
                <c:pt idx="50">
                  <c:v>0.13752693533096469</c:v>
                </c:pt>
                <c:pt idx="51">
                  <c:v>0.14444532213069461</c:v>
                </c:pt>
                <c:pt idx="52">
                  <c:v>0.15681401090274771</c:v>
                </c:pt>
                <c:pt idx="53">
                  <c:v>0.16498082462397751</c:v>
                </c:pt>
                <c:pt idx="54">
                  <c:v>0.17134169333721899</c:v>
                </c:pt>
                <c:pt idx="55">
                  <c:v>0.17677945865081759</c:v>
                </c:pt>
                <c:pt idx="56">
                  <c:v>0.17345600739580119</c:v>
                </c:pt>
                <c:pt idx="57">
                  <c:v>0.17681245096459061</c:v>
                </c:pt>
                <c:pt idx="58">
                  <c:v>0.18164306588699211</c:v>
                </c:pt>
                <c:pt idx="59">
                  <c:v>0.18266305819091941</c:v>
                </c:pt>
                <c:pt idx="60">
                  <c:v>0.178390347309522</c:v>
                </c:pt>
                <c:pt idx="61">
                  <c:v>0.183182400369824</c:v>
                </c:pt>
                <c:pt idx="62">
                  <c:v>0.18956894728471471</c:v>
                </c:pt>
                <c:pt idx="63">
                  <c:v>0.1856869467537422</c:v>
                </c:pt>
                <c:pt idx="64">
                  <c:v>0.18607813408732221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D1-42A9-BD55-A424973F2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lineChart>
        <c:grouping val="standard"/>
        <c:varyColors val="0"/>
        <c:ser>
          <c:idx val="1"/>
          <c:order val="1"/>
          <c:tx>
            <c:v>K/L Ratio ($)</c:v>
          </c:tx>
          <c:spPr>
            <a:ln w="31750">
              <a:solidFill>
                <a:srgbClr val="D62728"/>
              </a:solidFill>
            </a:ln>
          </c:spPr>
          <c:marker>
            <c:symbol val="squar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cat>
            <c:numRef>
              <c:f>'Dual-Axis Chart'!$A$2:$A$67</c:f>
              <c:numCache>
                <c:formatCode>General</c:formatCode>
                <c:ptCount val="6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  <c:pt idx="64">
                  <c:v>2024</c:v>
                </c:pt>
                <c:pt idx="65">
                  <c:v>2025</c:v>
                </c:pt>
              </c:numCache>
            </c:numRef>
          </c:cat>
          <c:val>
            <c:numRef>
              <c:f>'Dual-Axis Chart'!$C$2:$C$67</c:f>
              <c:numCache>
                <c:formatCode>#,##0.00</c:formatCode>
                <c:ptCount val="66"/>
                <c:pt idx="0">
                  <c:v>5275.8006861999174</c:v>
                </c:pt>
                <c:pt idx="1">
                  <c:v>5233.2576295244853</c:v>
                </c:pt>
                <c:pt idx="2">
                  <c:v>5841.2750109743838</c:v>
                </c:pt>
                <c:pt idx="3">
                  <c:v>6134.1697766390016</c:v>
                </c:pt>
                <c:pt idx="4">
                  <c:v>6503.4278911285364</c:v>
                </c:pt>
                <c:pt idx="5">
                  <c:v>7269.5098355369228</c:v>
                </c:pt>
                <c:pt idx="6">
                  <c:v>7784.1837745065677</c:v>
                </c:pt>
                <c:pt idx="7">
                  <c:v>7356.1695195738739</c:v>
                </c:pt>
                <c:pt idx="8">
                  <c:v>7660.9706517596242</c:v>
                </c:pt>
                <c:pt idx="9">
                  <c:v>7887.7392974412987</c:v>
                </c:pt>
                <c:pt idx="10">
                  <c:v>7221.0734818107157</c:v>
                </c:pt>
                <c:pt idx="11">
                  <c:v>7816.0614392718307</c:v>
                </c:pt>
                <c:pt idx="12">
                  <c:v>8433.1406373906739</c:v>
                </c:pt>
                <c:pt idx="13">
                  <c:v>9104.7633960027288</c:v>
                </c:pt>
                <c:pt idx="14">
                  <c:v>8264.6777420196577</c:v>
                </c:pt>
                <c:pt idx="15">
                  <c:v>6793.3560840354057</c:v>
                </c:pt>
                <c:pt idx="16">
                  <c:v>7889.4863287953322</c:v>
                </c:pt>
                <c:pt idx="17">
                  <c:v>8757.0112341388503</c:v>
                </c:pt>
                <c:pt idx="18">
                  <c:v>9459.4798157150817</c:v>
                </c:pt>
                <c:pt idx="19">
                  <c:v>9536.5516715732501</c:v>
                </c:pt>
                <c:pt idx="20">
                  <c:v>8415.5963131228145</c:v>
                </c:pt>
                <c:pt idx="21">
                  <c:v>9012.9375391070698</c:v>
                </c:pt>
                <c:pt idx="22">
                  <c:v>7768.7493196908672</c:v>
                </c:pt>
                <c:pt idx="23">
                  <c:v>8397.0048872349016</c:v>
                </c:pt>
                <c:pt idx="24">
                  <c:v>10498.7492513124</c:v>
                </c:pt>
                <c:pt idx="25">
                  <c:v>10316.237539729969</c:v>
                </c:pt>
                <c:pt idx="26">
                  <c:v>10123.958386368649</c:v>
                </c:pt>
                <c:pt idx="27">
                  <c:v>10237.3073681927</c:v>
                </c:pt>
                <c:pt idx="28">
                  <c:v>10333.13608008482</c:v>
                </c:pt>
                <c:pt idx="29">
                  <c:v>10561.884845499841</c:v>
                </c:pt>
                <c:pt idx="30">
                  <c:v>10125.340664404839</c:v>
                </c:pt>
                <c:pt idx="31">
                  <c:v>9418.3313283525404</c:v>
                </c:pt>
                <c:pt idx="32">
                  <c:v>9966.7991163084807</c:v>
                </c:pt>
                <c:pt idx="33">
                  <c:v>10673.212834307389</c:v>
                </c:pt>
                <c:pt idx="34">
                  <c:v>11765.961830488301</c:v>
                </c:pt>
                <c:pt idx="35">
                  <c:v>12027.08687601557</c:v>
                </c:pt>
                <c:pt idx="36">
                  <c:v>12918.7165456025</c:v>
                </c:pt>
                <c:pt idx="37">
                  <c:v>14143.9241091408</c:v>
                </c:pt>
                <c:pt idx="38">
                  <c:v>15336.127251597911</c:v>
                </c:pt>
                <c:pt idx="39">
                  <c:v>16434.725211651599</c:v>
                </c:pt>
                <c:pt idx="40">
                  <c:v>17146.900817752088</c:v>
                </c:pt>
                <c:pt idx="41">
                  <c:v>16049.329132149491</c:v>
                </c:pt>
                <c:pt idx="42">
                  <c:v>15792.821836858669</c:v>
                </c:pt>
                <c:pt idx="43">
                  <c:v>16289.290102389081</c:v>
                </c:pt>
                <c:pt idx="44">
                  <c:v>17688.790880716511</c:v>
                </c:pt>
                <c:pt idx="45">
                  <c:v>18636.577376765868</c:v>
                </c:pt>
                <c:pt idx="46">
                  <c:v>18941.430165974281</c:v>
                </c:pt>
                <c:pt idx="47">
                  <c:v>18259.980538521319</c:v>
                </c:pt>
                <c:pt idx="48">
                  <c:v>16616.29579709957</c:v>
                </c:pt>
                <c:pt idx="49">
                  <c:v>13135.11339978857</c:v>
                </c:pt>
                <c:pt idx="50">
                  <c:v>15004.990739838189</c:v>
                </c:pt>
                <c:pt idx="51">
                  <c:v>16033.568973597879</c:v>
                </c:pt>
                <c:pt idx="52">
                  <c:v>17649.857395434072</c:v>
                </c:pt>
                <c:pt idx="53">
                  <c:v>18910.577999716861</c:v>
                </c:pt>
                <c:pt idx="54">
                  <c:v>20067.938686505899</c:v>
                </c:pt>
                <c:pt idx="55">
                  <c:v>21149.480074838681</c:v>
                </c:pt>
                <c:pt idx="56">
                  <c:v>20857.338492851221</c:v>
                </c:pt>
                <c:pt idx="57">
                  <c:v>21629.77563482806</c:v>
                </c:pt>
                <c:pt idx="58">
                  <c:v>22631.578622638481</c:v>
                </c:pt>
                <c:pt idx="59">
                  <c:v>23138.421274696251</c:v>
                </c:pt>
                <c:pt idx="60">
                  <c:v>22508.65559861411</c:v>
                </c:pt>
                <c:pt idx="61">
                  <c:v>24466.900726993019</c:v>
                </c:pt>
                <c:pt idx="62">
                  <c:v>25473.327002909558</c:v>
                </c:pt>
                <c:pt idx="63">
                  <c:v>25248.614751253601</c:v>
                </c:pt>
                <c:pt idx="64">
                  <c:v>25855.0591874368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D1-42A9-BD55-A424973F2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3"/>
        <c:axId val="50010004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aseline="0"/>
                </a:pPr>
                <a:r>
                  <a:rPr lang="en-US" sz="1100" baseline="0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5"/>
        <c:noMultiLvlLbl val="0"/>
      </c:catAx>
      <c:valAx>
        <c:axId val="50010002"/>
        <c:scaling>
          <c:orientation val="minMax"/>
          <c:max val="0.19"/>
          <c:min val="0.1"/>
        </c:scaling>
        <c:delete val="0"/>
        <c:axPos val="l"/>
        <c:majorGridlines>
          <c:spPr>
            <a:ln>
              <a:solidFill>
                <a:srgbClr val="D3D3D3"/>
              </a:solidFill>
              <a:prstDash val="solid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solidFill>
                      <a:srgbClr val="1F77B4"/>
                    </a:solidFill>
                  </a:defRPr>
                </a:pPr>
                <a:r>
                  <a:rPr lang="en-US" sz="1100" baseline="0">
                    <a:solidFill>
                      <a:srgbClr val="1F77B4"/>
                    </a:solidFill>
                  </a:rPr>
                  <a:t>Capital Deepening (Investment % of GDP)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baseline="0">
                <a:solidFill>
                  <a:srgbClr val="1F77B4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  <c:max val="25000"/>
          <c:min val="5000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1100" baseline="0">
                    <a:solidFill>
                      <a:srgbClr val="D62728"/>
                    </a:solidFill>
                  </a:defRPr>
                </a:pPr>
                <a:r>
                  <a:rPr lang="en-US" sz="1100" baseline="0">
                    <a:solidFill>
                      <a:srgbClr val="D62728"/>
                    </a:solidFill>
                  </a:rPr>
                  <a:t>Capital-Labor Ratio ($ per Worker)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txPr>
          <a:bodyPr/>
          <a:lstStyle/>
          <a:p>
            <a:pPr>
              <a:defRPr baseline="0">
                <a:solidFill>
                  <a:srgbClr val="D62728"/>
                </a:solidFill>
              </a:defRPr>
            </a:pPr>
            <a:endParaRPr lang="en-US"/>
          </a:p>
        </c:txPr>
        <c:crossAx val="50010003"/>
        <c:crosses val="max"/>
        <c:crossBetween val="between"/>
      </c:valAx>
      <c:catAx>
        <c:axId val="500100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50010004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solidFill>
            <a:srgbClr val="D3D3D3"/>
          </a:solidFill>
        </a:ln>
      </c:spPr>
    </c:plotArea>
    <c:legend>
      <c:legendPos val="t"/>
      <c:overlay val="0"/>
      <c:txPr>
        <a:bodyPr/>
        <a:lstStyle/>
        <a:p>
          <a:pPr>
            <a:defRPr sz="1000" baseline="0"/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Regression: Real Exports vs Capital-Labor Ratio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trendline>
            <c:spPr>
              <a:ln w="25400">
                <a:solidFill>
                  <a:srgbClr val="FF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'Regression Plot'!$A$2:$A$67</c:f>
              <c:numCache>
                <c:formatCode>#,##0.00</c:formatCode>
                <c:ptCount val="66"/>
                <c:pt idx="0">
                  <c:v>5275.8006861999174</c:v>
                </c:pt>
                <c:pt idx="1">
                  <c:v>5233.2576295244853</c:v>
                </c:pt>
                <c:pt idx="2">
                  <c:v>5841.2750109743838</c:v>
                </c:pt>
                <c:pt idx="3">
                  <c:v>6134.1697766390016</c:v>
                </c:pt>
                <c:pt idx="4">
                  <c:v>6503.4278911285364</c:v>
                </c:pt>
                <c:pt idx="5">
                  <c:v>7269.5098355369228</c:v>
                </c:pt>
                <c:pt idx="6">
                  <c:v>7784.1837745065677</c:v>
                </c:pt>
                <c:pt idx="7">
                  <c:v>7356.1695195738739</c:v>
                </c:pt>
                <c:pt idx="8">
                  <c:v>7660.9706517596242</c:v>
                </c:pt>
                <c:pt idx="9">
                  <c:v>7887.7392974412987</c:v>
                </c:pt>
                <c:pt idx="10">
                  <c:v>7221.0734818107157</c:v>
                </c:pt>
                <c:pt idx="11">
                  <c:v>7816.0614392718307</c:v>
                </c:pt>
                <c:pt idx="12">
                  <c:v>8433.1406373906739</c:v>
                </c:pt>
                <c:pt idx="13">
                  <c:v>9104.7633960027288</c:v>
                </c:pt>
                <c:pt idx="14">
                  <c:v>8264.6777420196577</c:v>
                </c:pt>
                <c:pt idx="15">
                  <c:v>6793.3560840354057</c:v>
                </c:pt>
                <c:pt idx="16">
                  <c:v>7889.4863287953322</c:v>
                </c:pt>
                <c:pt idx="17">
                  <c:v>8757.0112341388503</c:v>
                </c:pt>
                <c:pt idx="18">
                  <c:v>9459.4798157150817</c:v>
                </c:pt>
                <c:pt idx="19">
                  <c:v>9536.5516715732501</c:v>
                </c:pt>
                <c:pt idx="20">
                  <c:v>8415.5963131228145</c:v>
                </c:pt>
                <c:pt idx="21">
                  <c:v>9012.9375391070698</c:v>
                </c:pt>
                <c:pt idx="22">
                  <c:v>7768.7493196908672</c:v>
                </c:pt>
                <c:pt idx="23">
                  <c:v>8397.0048872349016</c:v>
                </c:pt>
                <c:pt idx="24">
                  <c:v>10498.7492513124</c:v>
                </c:pt>
                <c:pt idx="25">
                  <c:v>10316.237539729969</c:v>
                </c:pt>
                <c:pt idx="26">
                  <c:v>10123.958386368649</c:v>
                </c:pt>
                <c:pt idx="27">
                  <c:v>10237.3073681927</c:v>
                </c:pt>
                <c:pt idx="28">
                  <c:v>10333.13608008482</c:v>
                </c:pt>
                <c:pt idx="29">
                  <c:v>10561.884845499841</c:v>
                </c:pt>
                <c:pt idx="30">
                  <c:v>10125.340664404839</c:v>
                </c:pt>
                <c:pt idx="31">
                  <c:v>9418.3313283525404</c:v>
                </c:pt>
                <c:pt idx="32">
                  <c:v>9966.7991163084807</c:v>
                </c:pt>
                <c:pt idx="33">
                  <c:v>10673.212834307389</c:v>
                </c:pt>
                <c:pt idx="34">
                  <c:v>11765.961830488301</c:v>
                </c:pt>
                <c:pt idx="35">
                  <c:v>12027.08687601557</c:v>
                </c:pt>
                <c:pt idx="36">
                  <c:v>12918.7165456025</c:v>
                </c:pt>
                <c:pt idx="37">
                  <c:v>14143.9241091408</c:v>
                </c:pt>
                <c:pt idx="38">
                  <c:v>15336.127251597911</c:v>
                </c:pt>
                <c:pt idx="39">
                  <c:v>16434.725211651599</c:v>
                </c:pt>
                <c:pt idx="40">
                  <c:v>17146.900817752088</c:v>
                </c:pt>
                <c:pt idx="41">
                  <c:v>16049.329132149491</c:v>
                </c:pt>
                <c:pt idx="42">
                  <c:v>15792.821836858669</c:v>
                </c:pt>
                <c:pt idx="43">
                  <c:v>16289.290102389081</c:v>
                </c:pt>
                <c:pt idx="44">
                  <c:v>17688.790880716511</c:v>
                </c:pt>
                <c:pt idx="45">
                  <c:v>18636.577376765868</c:v>
                </c:pt>
                <c:pt idx="46">
                  <c:v>18941.430165974281</c:v>
                </c:pt>
                <c:pt idx="47">
                  <c:v>18259.980538521319</c:v>
                </c:pt>
                <c:pt idx="48">
                  <c:v>16616.29579709957</c:v>
                </c:pt>
                <c:pt idx="49">
                  <c:v>13135.11339978857</c:v>
                </c:pt>
                <c:pt idx="50">
                  <c:v>15004.990739838189</c:v>
                </c:pt>
                <c:pt idx="51">
                  <c:v>16033.568973597879</c:v>
                </c:pt>
                <c:pt idx="52">
                  <c:v>17649.857395434072</c:v>
                </c:pt>
                <c:pt idx="53">
                  <c:v>18910.577999716861</c:v>
                </c:pt>
                <c:pt idx="54">
                  <c:v>20067.938686505899</c:v>
                </c:pt>
                <c:pt idx="55">
                  <c:v>21149.480074838681</c:v>
                </c:pt>
                <c:pt idx="56">
                  <c:v>20857.338492851221</c:v>
                </c:pt>
                <c:pt idx="57">
                  <c:v>21629.77563482806</c:v>
                </c:pt>
                <c:pt idx="58">
                  <c:v>22631.578622638481</c:v>
                </c:pt>
                <c:pt idx="59">
                  <c:v>23138.421274696251</c:v>
                </c:pt>
                <c:pt idx="60">
                  <c:v>22508.65559861411</c:v>
                </c:pt>
                <c:pt idx="61">
                  <c:v>24466.900726993019</c:v>
                </c:pt>
                <c:pt idx="62">
                  <c:v>25473.327002909558</c:v>
                </c:pt>
                <c:pt idx="63">
                  <c:v>25248.614751253601</c:v>
                </c:pt>
                <c:pt idx="64">
                  <c:v>25855.0591874368</c:v>
                </c:pt>
                <c:pt idx="65">
                  <c:v>0</c:v>
                </c:pt>
              </c:numCache>
            </c:numRef>
          </c:xVal>
          <c:yVal>
            <c:numRef>
              <c:f>'Regression Plot'!$B$2:$B$67</c:f>
              <c:numCache>
                <c:formatCode>#,##0.00</c:formatCode>
                <c:ptCount val="66"/>
                <c:pt idx="0">
                  <c:v>108.258</c:v>
                </c:pt>
                <c:pt idx="1">
                  <c:v>108.84</c:v>
                </c:pt>
                <c:pt idx="2">
                  <c:v>114.334</c:v>
                </c:pt>
                <c:pt idx="3">
                  <c:v>122.47499999999999</c:v>
                </c:pt>
                <c:pt idx="4">
                  <c:v>136.928</c:v>
                </c:pt>
                <c:pt idx="5">
                  <c:v>140.76300000000001</c:v>
                </c:pt>
                <c:pt idx="6">
                  <c:v>150.50200000000001</c:v>
                </c:pt>
                <c:pt idx="7">
                  <c:v>153.93299999999999</c:v>
                </c:pt>
                <c:pt idx="8">
                  <c:v>166.09800000000001</c:v>
                </c:pt>
                <c:pt idx="9">
                  <c:v>174.19900000000001</c:v>
                </c:pt>
                <c:pt idx="10">
                  <c:v>192.762</c:v>
                </c:pt>
                <c:pt idx="11">
                  <c:v>196.102</c:v>
                </c:pt>
                <c:pt idx="12">
                  <c:v>211.387</c:v>
                </c:pt>
                <c:pt idx="13">
                  <c:v>251.16800000000001</c:v>
                </c:pt>
                <c:pt idx="14">
                  <c:v>271.11700000000002</c:v>
                </c:pt>
                <c:pt idx="15">
                  <c:v>269.38099999999997</c:v>
                </c:pt>
                <c:pt idx="16">
                  <c:v>281.14400000000001</c:v>
                </c:pt>
                <c:pt idx="17">
                  <c:v>287.90100000000001</c:v>
                </c:pt>
                <c:pt idx="18">
                  <c:v>318.29000000000002</c:v>
                </c:pt>
                <c:pt idx="19">
                  <c:v>349.81</c:v>
                </c:pt>
                <c:pt idx="20">
                  <c:v>387.47500000000002</c:v>
                </c:pt>
                <c:pt idx="21">
                  <c:v>392.197</c:v>
                </c:pt>
                <c:pt idx="22">
                  <c:v>362.16699999999997</c:v>
                </c:pt>
                <c:pt idx="23">
                  <c:v>352.78199999999998</c:v>
                </c:pt>
                <c:pt idx="24">
                  <c:v>381.54399999999998</c:v>
                </c:pt>
                <c:pt idx="25">
                  <c:v>394.32799999999997</c:v>
                </c:pt>
                <c:pt idx="26">
                  <c:v>424.54300000000001</c:v>
                </c:pt>
                <c:pt idx="27">
                  <c:v>470.94</c:v>
                </c:pt>
                <c:pt idx="28">
                  <c:v>547.29</c:v>
                </c:pt>
                <c:pt idx="29">
                  <c:v>610.649</c:v>
                </c:pt>
                <c:pt idx="30">
                  <c:v>664.52</c:v>
                </c:pt>
                <c:pt idx="31">
                  <c:v>708.47199999999998</c:v>
                </c:pt>
                <c:pt idx="32">
                  <c:v>757.55100000000004</c:v>
                </c:pt>
                <c:pt idx="33">
                  <c:v>782.28200000000004</c:v>
                </c:pt>
                <c:pt idx="34">
                  <c:v>851.40499999999997</c:v>
                </c:pt>
                <c:pt idx="35">
                  <c:v>938.91499999999996</c:v>
                </c:pt>
                <c:pt idx="36">
                  <c:v>1015.6849999999999</c:v>
                </c:pt>
                <c:pt idx="37">
                  <c:v>1136.6489999999999</c:v>
                </c:pt>
                <c:pt idx="38">
                  <c:v>1163.1980000000001</c:v>
                </c:pt>
                <c:pt idx="39">
                  <c:v>1221.1220000000001</c:v>
                </c:pt>
                <c:pt idx="40">
                  <c:v>1322.64</c:v>
                </c:pt>
                <c:pt idx="41">
                  <c:v>1248.809</c:v>
                </c:pt>
                <c:pt idx="42">
                  <c:v>1224.4110000000001</c:v>
                </c:pt>
                <c:pt idx="43">
                  <c:v>1250.203</c:v>
                </c:pt>
                <c:pt idx="44">
                  <c:v>1370.771</c:v>
                </c:pt>
                <c:pt idx="45">
                  <c:v>1466.0050000000001</c:v>
                </c:pt>
                <c:pt idx="46">
                  <c:v>1604.922</c:v>
                </c:pt>
                <c:pt idx="47">
                  <c:v>1745.5350000000001</c:v>
                </c:pt>
                <c:pt idx="48">
                  <c:v>1846.597</c:v>
                </c:pt>
                <c:pt idx="49">
                  <c:v>1693.098</c:v>
                </c:pt>
                <c:pt idx="50">
                  <c:v>1907.258</c:v>
                </c:pt>
                <c:pt idx="51">
                  <c:v>2044.164</c:v>
                </c:pt>
                <c:pt idx="52">
                  <c:v>2126.3020000000001</c:v>
                </c:pt>
                <c:pt idx="53">
                  <c:v>2190.3110000000001</c:v>
                </c:pt>
                <c:pt idx="54">
                  <c:v>2275.7840000000001</c:v>
                </c:pt>
                <c:pt idx="55">
                  <c:v>2283.058</c:v>
                </c:pt>
                <c:pt idx="56">
                  <c:v>2293.8809999999999</c:v>
                </c:pt>
                <c:pt idx="57">
                  <c:v>2388.2600000000002</c:v>
                </c:pt>
                <c:pt idx="58">
                  <c:v>2456.4229999999998</c:v>
                </c:pt>
                <c:pt idx="59">
                  <c:v>2469.5349999999999</c:v>
                </c:pt>
                <c:pt idx="60">
                  <c:v>2157.8110000000001</c:v>
                </c:pt>
                <c:pt idx="61">
                  <c:v>2297.1689999999999</c:v>
                </c:pt>
                <c:pt idx="62">
                  <c:v>2472.0610000000001</c:v>
                </c:pt>
                <c:pt idx="63">
                  <c:v>2541.04</c:v>
                </c:pt>
                <c:pt idx="64">
                  <c:v>2633.598</c:v>
                </c:pt>
                <c:pt idx="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78-4F1A-860A-B2F57D438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Capital-Labor Ratio ($ per Worker)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Real Exports (Billions of Chained $)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tabSelected="1" topLeftCell="A53" workbookViewId="0">
      <selection activeCell="B67" sqref="B67"/>
    </sheetView>
  </sheetViews>
  <sheetFormatPr defaultRowHeight="14.4" x14ac:dyDescent="0.3"/>
  <cols>
    <col min="1" max="1" width="8.6640625" customWidth="1"/>
    <col min="2" max="7" width="18.664062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1960</v>
      </c>
      <c r="B2" s="3">
        <v>3500.2730000000001</v>
      </c>
      <c r="C2" s="3">
        <v>69659</v>
      </c>
      <c r="D2" s="3">
        <v>367.50700000000001</v>
      </c>
      <c r="E2" s="3">
        <v>108.258</v>
      </c>
      <c r="F2" s="4">
        <v>0.10499381048278229</v>
      </c>
      <c r="G2" s="3">
        <v>5275.8006861999174</v>
      </c>
    </row>
    <row r="3" spans="1:7" x14ac:dyDescent="0.3">
      <c r="A3" s="2">
        <v>1961</v>
      </c>
      <c r="B3" s="3">
        <v>3590.0659999999998</v>
      </c>
      <c r="C3" s="3">
        <v>70450</v>
      </c>
      <c r="D3" s="3">
        <v>368.68299999999999</v>
      </c>
      <c r="E3" s="3">
        <v>108.84</v>
      </c>
      <c r="F3" s="4">
        <v>0.1026953264926049</v>
      </c>
      <c r="G3" s="3">
        <v>5233.2576295244853</v>
      </c>
    </row>
    <row r="4" spans="1:7" x14ac:dyDescent="0.3">
      <c r="A4" s="2">
        <v>1962</v>
      </c>
      <c r="B4" s="3">
        <v>3810.123</v>
      </c>
      <c r="C4" s="3">
        <v>70619</v>
      </c>
      <c r="D4" s="3">
        <v>412.505</v>
      </c>
      <c r="E4" s="3">
        <v>114.334</v>
      </c>
      <c r="F4" s="4">
        <v>0.1082655336848705</v>
      </c>
      <c r="G4" s="3">
        <v>5841.2750109743838</v>
      </c>
    </row>
    <row r="5" spans="1:7" x14ac:dyDescent="0.3">
      <c r="A5" s="2">
        <v>1963</v>
      </c>
      <c r="B5" s="3">
        <v>3976.1419999999998</v>
      </c>
      <c r="C5" s="3">
        <v>71812</v>
      </c>
      <c r="D5" s="3">
        <v>440.50700000000001</v>
      </c>
      <c r="E5" s="3">
        <v>122.47499999999999</v>
      </c>
      <c r="F5" s="4">
        <v>0.1107875422960246</v>
      </c>
      <c r="G5" s="3">
        <v>6134.1697766390016</v>
      </c>
    </row>
    <row r="6" spans="1:7" x14ac:dyDescent="0.3">
      <c r="A6" s="2">
        <v>1964</v>
      </c>
      <c r="B6" s="3">
        <v>4205.277</v>
      </c>
      <c r="C6" s="3">
        <v>73077</v>
      </c>
      <c r="D6" s="3">
        <v>475.25099999999998</v>
      </c>
      <c r="E6" s="3">
        <v>136.928</v>
      </c>
      <c r="F6" s="4">
        <v>0.11301300722877471</v>
      </c>
      <c r="G6" s="3">
        <v>6503.4278911285364</v>
      </c>
    </row>
    <row r="7" spans="1:7" x14ac:dyDescent="0.3">
      <c r="A7" s="2">
        <v>1965</v>
      </c>
      <c r="B7" s="3">
        <v>4478.5550000000003</v>
      </c>
      <c r="C7" s="3">
        <v>74424</v>
      </c>
      <c r="D7" s="3">
        <v>541.02599999999995</v>
      </c>
      <c r="E7" s="3">
        <v>140.76300000000001</v>
      </c>
      <c r="F7" s="4">
        <v>0.1208036967280741</v>
      </c>
      <c r="G7" s="3">
        <v>7269.5098355369228</v>
      </c>
    </row>
    <row r="8" spans="1:7" x14ac:dyDescent="0.3">
      <c r="A8" s="2">
        <v>1966</v>
      </c>
      <c r="B8" s="3">
        <v>4773.9309999999996</v>
      </c>
      <c r="C8" s="3">
        <v>75745</v>
      </c>
      <c r="D8" s="3">
        <v>589.61300000000006</v>
      </c>
      <c r="E8" s="3">
        <v>150.50200000000001</v>
      </c>
      <c r="F8" s="4">
        <v>0.1235068123104419</v>
      </c>
      <c r="G8" s="3">
        <v>7784.1837745065677</v>
      </c>
    </row>
    <row r="9" spans="1:7" x14ac:dyDescent="0.3">
      <c r="A9" s="2">
        <v>1967</v>
      </c>
      <c r="B9" s="3">
        <v>4904.8639999999996</v>
      </c>
      <c r="C9" s="3">
        <v>77348</v>
      </c>
      <c r="D9" s="3">
        <v>568.98500000000001</v>
      </c>
      <c r="E9" s="3">
        <v>153.93299999999999</v>
      </c>
      <c r="F9" s="4">
        <v>0.1160042357953248</v>
      </c>
      <c r="G9" s="3">
        <v>7356.1695195738739</v>
      </c>
    </row>
    <row r="10" spans="1:7" x14ac:dyDescent="0.3">
      <c r="A10" s="2">
        <v>1968</v>
      </c>
      <c r="B10" s="3">
        <v>5145.9139999999998</v>
      </c>
      <c r="C10" s="3">
        <v>78710</v>
      </c>
      <c r="D10" s="3">
        <v>602.995</v>
      </c>
      <c r="E10" s="3">
        <v>166.09800000000001</v>
      </c>
      <c r="F10" s="4">
        <v>0.1171793776576911</v>
      </c>
      <c r="G10" s="3">
        <v>7660.9706517596242</v>
      </c>
    </row>
    <row r="11" spans="1:7" x14ac:dyDescent="0.3">
      <c r="A11" s="2">
        <v>1969</v>
      </c>
      <c r="B11" s="3">
        <v>5306.5950000000003</v>
      </c>
      <c r="C11" s="3">
        <v>80705</v>
      </c>
      <c r="D11" s="3">
        <v>636.58000000000004</v>
      </c>
      <c r="E11" s="3">
        <v>174.19900000000001</v>
      </c>
      <c r="F11" s="4">
        <v>0.1199601627785802</v>
      </c>
      <c r="G11" s="3">
        <v>7887.7392974412987</v>
      </c>
    </row>
    <row r="12" spans="1:7" x14ac:dyDescent="0.3">
      <c r="A12" s="2">
        <v>1970</v>
      </c>
      <c r="B12" s="3">
        <v>5316.3909999999996</v>
      </c>
      <c r="C12" s="3">
        <v>82796</v>
      </c>
      <c r="D12" s="3">
        <v>597.87599999999998</v>
      </c>
      <c r="E12" s="3">
        <v>192.762</v>
      </c>
      <c r="F12" s="4">
        <v>0.1124589970903194</v>
      </c>
      <c r="G12" s="3">
        <v>7221.0734818107157</v>
      </c>
    </row>
    <row r="13" spans="1:7" x14ac:dyDescent="0.3">
      <c r="A13" s="2">
        <v>1971</v>
      </c>
      <c r="B13" s="3">
        <v>5491.4459999999999</v>
      </c>
      <c r="C13" s="3">
        <v>84376</v>
      </c>
      <c r="D13" s="3">
        <v>659.48800000000006</v>
      </c>
      <c r="E13" s="3">
        <v>196.102</v>
      </c>
      <c r="F13" s="4">
        <v>0.1200936875278388</v>
      </c>
      <c r="G13" s="3">
        <v>7816.0614392718307</v>
      </c>
    </row>
    <row r="14" spans="1:7" x14ac:dyDescent="0.3">
      <c r="A14" s="2">
        <v>1972</v>
      </c>
      <c r="B14" s="3">
        <v>5780.0479999999998</v>
      </c>
      <c r="C14" s="3">
        <v>87011</v>
      </c>
      <c r="D14" s="3">
        <v>733.77599999999995</v>
      </c>
      <c r="E14" s="3">
        <v>211.387</v>
      </c>
      <c r="F14" s="4">
        <v>0.12694981079741899</v>
      </c>
      <c r="G14" s="3">
        <v>8433.1406373906739</v>
      </c>
    </row>
    <row r="15" spans="1:7" x14ac:dyDescent="0.3">
      <c r="A15" s="2">
        <v>1973</v>
      </c>
      <c r="B15" s="3">
        <v>6106.3710000000001</v>
      </c>
      <c r="C15" s="3">
        <v>89411</v>
      </c>
      <c r="D15" s="3">
        <v>814.06600000000003</v>
      </c>
      <c r="E15" s="3">
        <v>251.16800000000001</v>
      </c>
      <c r="F15" s="4">
        <v>0.1333142057696789</v>
      </c>
      <c r="G15" s="3">
        <v>9104.7633960027288</v>
      </c>
    </row>
    <row r="16" spans="1:7" x14ac:dyDescent="0.3">
      <c r="A16" s="2">
        <v>1974</v>
      </c>
      <c r="B16" s="3">
        <v>6073.3630000000003</v>
      </c>
      <c r="C16" s="3">
        <v>91976</v>
      </c>
      <c r="D16" s="3">
        <v>760.15200000000004</v>
      </c>
      <c r="E16" s="3">
        <v>271.11700000000002</v>
      </c>
      <c r="F16" s="4">
        <v>0.12516162791520941</v>
      </c>
      <c r="G16" s="3">
        <v>8264.6777420196577</v>
      </c>
    </row>
    <row r="17" spans="1:7" x14ac:dyDescent="0.3">
      <c r="A17" s="2">
        <v>1975</v>
      </c>
      <c r="B17" s="3">
        <v>6060.875</v>
      </c>
      <c r="C17" s="3">
        <v>93770</v>
      </c>
      <c r="D17" s="3">
        <v>637.01300000000003</v>
      </c>
      <c r="E17" s="3">
        <v>269.38099999999997</v>
      </c>
      <c r="F17" s="4">
        <v>0.10510248107740219</v>
      </c>
      <c r="G17" s="3">
        <v>6793.3560840354057</v>
      </c>
    </row>
    <row r="18" spans="1:7" x14ac:dyDescent="0.3">
      <c r="A18" s="2">
        <v>1976</v>
      </c>
      <c r="B18" s="3">
        <v>6387.4369999999999</v>
      </c>
      <c r="C18" s="3">
        <v>96151</v>
      </c>
      <c r="D18" s="3">
        <v>758.58199999999999</v>
      </c>
      <c r="E18" s="3">
        <v>281.14400000000001</v>
      </c>
      <c r="F18" s="4">
        <v>0.1187615627363526</v>
      </c>
      <c r="G18" s="3">
        <v>7889.4863287953322</v>
      </c>
    </row>
    <row r="19" spans="1:7" x14ac:dyDescent="0.3">
      <c r="A19" s="2">
        <v>1977</v>
      </c>
      <c r="B19" s="3">
        <v>6682.8050000000003</v>
      </c>
      <c r="C19" s="3">
        <v>98984</v>
      </c>
      <c r="D19" s="3">
        <v>866.80399999999997</v>
      </c>
      <c r="E19" s="3">
        <v>287.90100000000001</v>
      </c>
      <c r="F19" s="4">
        <v>0.12970661271726469</v>
      </c>
      <c r="G19" s="3">
        <v>8757.0112341388503</v>
      </c>
    </row>
    <row r="20" spans="1:7" x14ac:dyDescent="0.3">
      <c r="A20" s="2">
        <v>1978</v>
      </c>
      <c r="B20" s="3">
        <v>7052.7110000000002</v>
      </c>
      <c r="C20" s="3">
        <v>102233</v>
      </c>
      <c r="D20" s="3">
        <v>967.07100000000003</v>
      </c>
      <c r="E20" s="3">
        <v>318.29000000000002</v>
      </c>
      <c r="F20" s="4">
        <v>0.1371204633225436</v>
      </c>
      <c r="G20" s="3">
        <v>9459.4798157150817</v>
      </c>
    </row>
    <row r="21" spans="1:7" x14ac:dyDescent="0.3">
      <c r="A21" s="2">
        <v>1979</v>
      </c>
      <c r="B21" s="3">
        <v>7275.9989999999998</v>
      </c>
      <c r="C21" s="3">
        <v>104961</v>
      </c>
      <c r="D21" s="3">
        <v>1000.966</v>
      </c>
      <c r="E21" s="3">
        <v>349.81</v>
      </c>
      <c r="F21" s="4">
        <v>0.13757093699435641</v>
      </c>
      <c r="G21" s="3">
        <v>9536.5516715732501</v>
      </c>
    </row>
    <row r="22" spans="1:7" x14ac:dyDescent="0.3">
      <c r="A22" s="2">
        <v>1980</v>
      </c>
      <c r="B22" s="3">
        <v>7257.317</v>
      </c>
      <c r="C22" s="3">
        <v>106974</v>
      </c>
      <c r="D22" s="3">
        <v>900.25</v>
      </c>
      <c r="E22" s="3">
        <v>387.47500000000002</v>
      </c>
      <c r="F22" s="4">
        <v>0.1240472202054837</v>
      </c>
      <c r="G22" s="3">
        <v>8415.5963131228145</v>
      </c>
    </row>
    <row r="23" spans="1:7" x14ac:dyDescent="0.3">
      <c r="A23" s="2">
        <v>1981</v>
      </c>
      <c r="B23" s="3">
        <v>7441.4849999999997</v>
      </c>
      <c r="C23" s="3">
        <v>108676</v>
      </c>
      <c r="D23" s="3">
        <v>979.49</v>
      </c>
      <c r="E23" s="3">
        <v>392.197</v>
      </c>
      <c r="F23" s="4">
        <v>0.131625609673338</v>
      </c>
      <c r="G23" s="3">
        <v>9012.9375391070698</v>
      </c>
    </row>
    <row r="24" spans="1:7" x14ac:dyDescent="0.3">
      <c r="A24" s="2">
        <v>1982</v>
      </c>
      <c r="B24" s="3">
        <v>7307.3140000000003</v>
      </c>
      <c r="C24" s="3">
        <v>110244</v>
      </c>
      <c r="D24" s="3">
        <v>856.45799999999997</v>
      </c>
      <c r="E24" s="3">
        <v>362.16699999999997</v>
      </c>
      <c r="F24" s="4">
        <v>0.1172055833374616</v>
      </c>
      <c r="G24" s="3">
        <v>7768.7493196908672</v>
      </c>
    </row>
    <row r="25" spans="1:7" x14ac:dyDescent="0.3">
      <c r="A25" s="2">
        <v>1983</v>
      </c>
      <c r="B25" s="3">
        <v>7642.2659999999996</v>
      </c>
      <c r="C25" s="3">
        <v>111515</v>
      </c>
      <c r="D25" s="3">
        <v>936.39200000000005</v>
      </c>
      <c r="E25" s="3">
        <v>352.78199999999998</v>
      </c>
      <c r="F25" s="4">
        <v>0.1225280564691153</v>
      </c>
      <c r="G25" s="3">
        <v>8397.0048872349016</v>
      </c>
    </row>
    <row r="26" spans="1:7" x14ac:dyDescent="0.3">
      <c r="A26" s="2">
        <v>1984</v>
      </c>
      <c r="B26" s="3">
        <v>8195.2950000000001</v>
      </c>
      <c r="C26" s="3">
        <v>113532</v>
      </c>
      <c r="D26" s="3">
        <v>1191.944</v>
      </c>
      <c r="E26" s="3">
        <v>381.54399999999998</v>
      </c>
      <c r="F26" s="4">
        <v>0.14544247644532621</v>
      </c>
      <c r="G26" s="3">
        <v>10498.7492513124</v>
      </c>
    </row>
    <row r="27" spans="1:7" x14ac:dyDescent="0.3">
      <c r="A27" s="2">
        <v>1985</v>
      </c>
      <c r="B27" s="3">
        <v>8537.0040000000008</v>
      </c>
      <c r="C27" s="3">
        <v>115467</v>
      </c>
      <c r="D27" s="3">
        <v>1191.1849999999999</v>
      </c>
      <c r="E27" s="3">
        <v>394.32799999999997</v>
      </c>
      <c r="F27" s="4">
        <v>0.13953197163782519</v>
      </c>
      <c r="G27" s="3">
        <v>10316.237539729969</v>
      </c>
    </row>
    <row r="28" spans="1:7" x14ac:dyDescent="0.3">
      <c r="A28" s="2">
        <v>1986</v>
      </c>
      <c r="B28" s="3">
        <v>8832.6110000000008</v>
      </c>
      <c r="C28" s="3">
        <v>117846</v>
      </c>
      <c r="D28" s="3">
        <v>1193.068</v>
      </c>
      <c r="E28" s="3">
        <v>424.54300000000001</v>
      </c>
      <c r="F28" s="4">
        <v>0.13507534748218841</v>
      </c>
      <c r="G28" s="3">
        <v>10123.958386368649</v>
      </c>
    </row>
    <row r="29" spans="1:7" x14ac:dyDescent="0.3">
      <c r="A29" s="2">
        <v>1987</v>
      </c>
      <c r="B29" s="3">
        <v>9137.7450000000008</v>
      </c>
      <c r="C29" s="3">
        <v>119853</v>
      </c>
      <c r="D29" s="3">
        <v>1226.972</v>
      </c>
      <c r="E29" s="3">
        <v>470.94</v>
      </c>
      <c r="F29" s="4">
        <v>0.13427514118636491</v>
      </c>
      <c r="G29" s="3">
        <v>10237.3073681927</v>
      </c>
    </row>
    <row r="30" spans="1:7" x14ac:dyDescent="0.3">
      <c r="A30" s="2">
        <v>1988</v>
      </c>
      <c r="B30" s="3">
        <v>9519.4269999999997</v>
      </c>
      <c r="C30" s="3">
        <v>121671</v>
      </c>
      <c r="D30" s="3">
        <v>1257.2429999999999</v>
      </c>
      <c r="E30" s="3">
        <v>547.29</v>
      </c>
      <c r="F30" s="4">
        <v>0.13207128958497191</v>
      </c>
      <c r="G30" s="3">
        <v>10333.13608008482</v>
      </c>
    </row>
    <row r="31" spans="1:7" x14ac:dyDescent="0.3">
      <c r="A31" s="2">
        <v>1989</v>
      </c>
      <c r="B31" s="3">
        <v>9869.0030000000006</v>
      </c>
      <c r="C31" s="3">
        <v>123851</v>
      </c>
      <c r="D31" s="3">
        <v>1308.0999999999999</v>
      </c>
      <c r="E31" s="3">
        <v>610.649</v>
      </c>
      <c r="F31" s="4">
        <v>0.13254631698865629</v>
      </c>
      <c r="G31" s="3">
        <v>10561.884845499841</v>
      </c>
    </row>
    <row r="32" spans="1:7" x14ac:dyDescent="0.3">
      <c r="A32" s="2">
        <v>1990</v>
      </c>
      <c r="B32" s="3">
        <v>10055.129000000001</v>
      </c>
      <c r="C32" s="3">
        <v>125857</v>
      </c>
      <c r="D32" s="3">
        <v>1274.345</v>
      </c>
      <c r="E32" s="3">
        <v>664.52</v>
      </c>
      <c r="F32" s="4">
        <v>0.1267358181083505</v>
      </c>
      <c r="G32" s="3">
        <v>10125.340664404839</v>
      </c>
    </row>
    <row r="33" spans="1:7" x14ac:dyDescent="0.3">
      <c r="A33" s="2">
        <v>1991</v>
      </c>
      <c r="B33" s="3">
        <v>10044.237999999999</v>
      </c>
      <c r="C33" s="3">
        <v>126352</v>
      </c>
      <c r="D33" s="3">
        <v>1190.0250000000001</v>
      </c>
      <c r="E33" s="3">
        <v>708.47199999999998</v>
      </c>
      <c r="F33" s="4">
        <v>0.11847837536306891</v>
      </c>
      <c r="G33" s="3">
        <v>9418.3313283525404</v>
      </c>
    </row>
    <row r="34" spans="1:7" x14ac:dyDescent="0.3">
      <c r="A34" s="2">
        <v>1992</v>
      </c>
      <c r="B34" s="3">
        <v>10398.046</v>
      </c>
      <c r="C34" s="3">
        <v>128099</v>
      </c>
      <c r="D34" s="3">
        <v>1276.7370000000001</v>
      </c>
      <c r="E34" s="3">
        <v>757.55100000000004</v>
      </c>
      <c r="F34" s="4">
        <v>0.1227862427229116</v>
      </c>
      <c r="G34" s="3">
        <v>9966.7991163084807</v>
      </c>
    </row>
    <row r="35" spans="1:7" x14ac:dyDescent="0.3">
      <c r="A35" s="2">
        <v>1993</v>
      </c>
      <c r="B35" s="3">
        <v>10684.179</v>
      </c>
      <c r="C35" s="3">
        <v>129185</v>
      </c>
      <c r="D35" s="3">
        <v>1378.819</v>
      </c>
      <c r="E35" s="3">
        <v>782.28200000000004</v>
      </c>
      <c r="F35" s="4">
        <v>0.12905240543049681</v>
      </c>
      <c r="G35" s="3">
        <v>10673.212834307389</v>
      </c>
    </row>
    <row r="36" spans="1:7" x14ac:dyDescent="0.3">
      <c r="A36" s="2">
        <v>1994</v>
      </c>
      <c r="B36" s="3">
        <v>11114.646000000001</v>
      </c>
      <c r="C36" s="3">
        <v>131047</v>
      </c>
      <c r="D36" s="3">
        <v>1541.894</v>
      </c>
      <c r="E36" s="3">
        <v>851.40499999999997</v>
      </c>
      <c r="F36" s="4">
        <v>0.13872632560677139</v>
      </c>
      <c r="G36" s="3">
        <v>11765.961830488301</v>
      </c>
    </row>
    <row r="37" spans="1:7" x14ac:dyDescent="0.3">
      <c r="A37" s="2">
        <v>1995</v>
      </c>
      <c r="B37" s="3">
        <v>11413.012000000001</v>
      </c>
      <c r="C37" s="3">
        <v>132315</v>
      </c>
      <c r="D37" s="3">
        <v>1591.364</v>
      </c>
      <c r="E37" s="3">
        <v>938.91499999999996</v>
      </c>
      <c r="F37" s="4">
        <v>0.13943418266799329</v>
      </c>
      <c r="G37" s="3">
        <v>12027.08687601557</v>
      </c>
    </row>
    <row r="38" spans="1:7" x14ac:dyDescent="0.3">
      <c r="A38" s="2">
        <v>1996</v>
      </c>
      <c r="B38" s="3">
        <v>11843.599</v>
      </c>
      <c r="C38" s="3">
        <v>133951</v>
      </c>
      <c r="D38" s="3">
        <v>1730.4749999999999</v>
      </c>
      <c r="E38" s="3">
        <v>1015.6849999999999</v>
      </c>
      <c r="F38" s="4">
        <v>0.14611056993739821</v>
      </c>
      <c r="G38" s="3">
        <v>12918.7165456025</v>
      </c>
    </row>
    <row r="39" spans="1:7" x14ac:dyDescent="0.3">
      <c r="A39" s="2">
        <v>1997</v>
      </c>
      <c r="B39" s="3">
        <v>12370.3</v>
      </c>
      <c r="C39" s="3">
        <v>136301</v>
      </c>
      <c r="D39" s="3">
        <v>1927.8309999999999</v>
      </c>
      <c r="E39" s="3">
        <v>1136.6489999999999</v>
      </c>
      <c r="F39" s="4">
        <v>0.15584351228345311</v>
      </c>
      <c r="G39" s="3">
        <v>14143.9241091408</v>
      </c>
    </row>
    <row r="40" spans="1:7" x14ac:dyDescent="0.3">
      <c r="A40" s="2">
        <v>1998</v>
      </c>
      <c r="B40" s="3">
        <v>12924.876</v>
      </c>
      <c r="C40" s="3">
        <v>137680</v>
      </c>
      <c r="D40" s="3">
        <v>2111.4780000000001</v>
      </c>
      <c r="E40" s="3">
        <v>1163.1980000000001</v>
      </c>
      <c r="F40" s="4">
        <v>0.16336543576897761</v>
      </c>
      <c r="G40" s="3">
        <v>15336.127251597911</v>
      </c>
    </row>
    <row r="41" spans="1:7" x14ac:dyDescent="0.3">
      <c r="A41" s="2">
        <v>1999</v>
      </c>
      <c r="B41" s="3">
        <v>13543.773999999999</v>
      </c>
      <c r="C41" s="3">
        <v>139380</v>
      </c>
      <c r="D41" s="3">
        <v>2290.672</v>
      </c>
      <c r="E41" s="3">
        <v>1221.1220000000001</v>
      </c>
      <c r="F41" s="4">
        <v>0.1691309970175226</v>
      </c>
      <c r="G41" s="3">
        <v>16434.725211651599</v>
      </c>
    </row>
    <row r="42" spans="1:7" x14ac:dyDescent="0.3">
      <c r="A42" s="2">
        <v>2000</v>
      </c>
      <c r="B42" s="3">
        <v>14096.032999999999</v>
      </c>
      <c r="C42" s="3">
        <v>142586</v>
      </c>
      <c r="D42" s="3">
        <v>2444.9079999999999</v>
      </c>
      <c r="E42" s="3">
        <v>1322.64</v>
      </c>
      <c r="F42" s="4">
        <v>0.1734465292469165</v>
      </c>
      <c r="G42" s="3">
        <v>17146.900817752088</v>
      </c>
    </row>
    <row r="43" spans="1:7" x14ac:dyDescent="0.3">
      <c r="A43" s="2">
        <v>2001</v>
      </c>
      <c r="B43" s="3">
        <v>14230.726000000001</v>
      </c>
      <c r="C43" s="3">
        <v>143769</v>
      </c>
      <c r="D43" s="3">
        <v>2307.3960000000002</v>
      </c>
      <c r="E43" s="3">
        <v>1248.809</v>
      </c>
      <c r="F43" s="4">
        <v>0.16214183310113631</v>
      </c>
      <c r="G43" s="3">
        <v>16049.329132149491</v>
      </c>
    </row>
    <row r="44" spans="1:7" x14ac:dyDescent="0.3">
      <c r="A44" s="2">
        <v>2002</v>
      </c>
      <c r="B44" s="3">
        <v>14472.712</v>
      </c>
      <c r="C44" s="3">
        <v>144856</v>
      </c>
      <c r="D44" s="3">
        <v>2287.6849999999999</v>
      </c>
      <c r="E44" s="3">
        <v>1224.4110000000001</v>
      </c>
      <c r="F44" s="4">
        <v>0.15806885399225801</v>
      </c>
      <c r="G44" s="3">
        <v>15792.821836858669</v>
      </c>
    </row>
    <row r="45" spans="1:7" x14ac:dyDescent="0.3">
      <c r="A45" s="2">
        <v>2003</v>
      </c>
      <c r="B45" s="3">
        <v>14877.313</v>
      </c>
      <c r="C45" s="3">
        <v>146500</v>
      </c>
      <c r="D45" s="3">
        <v>2386.3809999999999</v>
      </c>
      <c r="E45" s="3">
        <v>1250.203</v>
      </c>
      <c r="F45" s="4">
        <v>0.16040403263680739</v>
      </c>
      <c r="G45" s="3">
        <v>16289.290102389081</v>
      </c>
    </row>
    <row r="46" spans="1:7" x14ac:dyDescent="0.3">
      <c r="A46" s="2">
        <v>2004</v>
      </c>
      <c r="B46" s="3">
        <v>15449.757</v>
      </c>
      <c r="C46" s="3">
        <v>147380</v>
      </c>
      <c r="D46" s="3">
        <v>2606.9740000000002</v>
      </c>
      <c r="E46" s="3">
        <v>1370.771</v>
      </c>
      <c r="F46" s="4">
        <v>0.16873883518038499</v>
      </c>
      <c r="G46" s="3">
        <v>17688.790880716511</v>
      </c>
    </row>
    <row r="47" spans="1:7" x14ac:dyDescent="0.3">
      <c r="A47" s="2">
        <v>2005</v>
      </c>
      <c r="B47" s="3">
        <v>15987.958000000001</v>
      </c>
      <c r="C47" s="3">
        <v>149289</v>
      </c>
      <c r="D47" s="3">
        <v>2782.2359999999999</v>
      </c>
      <c r="E47" s="3">
        <v>1466.0050000000001</v>
      </c>
      <c r="F47" s="4">
        <v>0.17402072234615579</v>
      </c>
      <c r="G47" s="3">
        <v>18636.577376765868</v>
      </c>
    </row>
    <row r="48" spans="1:7" x14ac:dyDescent="0.3">
      <c r="A48" s="2">
        <v>2006</v>
      </c>
      <c r="B48" s="3">
        <v>16433.148000000001</v>
      </c>
      <c r="C48" s="3">
        <v>151409</v>
      </c>
      <c r="D48" s="3">
        <v>2867.9029999999998</v>
      </c>
      <c r="E48" s="3">
        <v>1604.922</v>
      </c>
      <c r="F48" s="4">
        <v>0.1745193921456801</v>
      </c>
      <c r="G48" s="3">
        <v>18941.430165974281</v>
      </c>
    </row>
    <row r="49" spans="1:7" x14ac:dyDescent="0.3">
      <c r="A49" s="2">
        <v>2007</v>
      </c>
      <c r="B49" s="3">
        <v>16762.446</v>
      </c>
      <c r="C49" s="3">
        <v>153123</v>
      </c>
      <c r="D49" s="3">
        <v>2796.0230000000001</v>
      </c>
      <c r="E49" s="3">
        <v>1745.5350000000001</v>
      </c>
      <c r="F49" s="4">
        <v>0.16680280431626751</v>
      </c>
      <c r="G49" s="3">
        <v>18259.980538521319</v>
      </c>
    </row>
    <row r="50" spans="1:7" x14ac:dyDescent="0.3">
      <c r="A50" s="2">
        <v>2008</v>
      </c>
      <c r="B50" s="3">
        <v>16781.485000000001</v>
      </c>
      <c r="C50" s="3">
        <v>154322</v>
      </c>
      <c r="D50" s="3">
        <v>2564.2600000000002</v>
      </c>
      <c r="E50" s="3">
        <v>1846.597</v>
      </c>
      <c r="F50" s="4">
        <v>0.15280292536685519</v>
      </c>
      <c r="G50" s="3">
        <v>16616.29579709957</v>
      </c>
    </row>
    <row r="51" spans="1:7" x14ac:dyDescent="0.3">
      <c r="A51" s="2">
        <v>2009</v>
      </c>
      <c r="B51" s="3">
        <v>16349.111000000001</v>
      </c>
      <c r="C51" s="3">
        <v>154189</v>
      </c>
      <c r="D51" s="3">
        <v>2025.29</v>
      </c>
      <c r="E51" s="3">
        <v>1693.098</v>
      </c>
      <c r="F51" s="4">
        <v>0.1238776836245102</v>
      </c>
      <c r="G51" s="3">
        <v>13135.11339978857</v>
      </c>
    </row>
    <row r="52" spans="1:7" x14ac:dyDescent="0.3">
      <c r="A52" s="2">
        <v>2010</v>
      </c>
      <c r="B52" s="3">
        <v>16789.751</v>
      </c>
      <c r="C52" s="3">
        <v>153885</v>
      </c>
      <c r="D52" s="3">
        <v>2309.0430000000001</v>
      </c>
      <c r="E52" s="3">
        <v>1907.258</v>
      </c>
      <c r="F52" s="4">
        <v>0.13752693533096469</v>
      </c>
      <c r="G52" s="3">
        <v>15004.990739838189</v>
      </c>
    </row>
    <row r="53" spans="1:7" x14ac:dyDescent="0.3">
      <c r="A53" s="2">
        <v>2011</v>
      </c>
      <c r="B53" s="3">
        <v>17052.411</v>
      </c>
      <c r="C53" s="3">
        <v>153624</v>
      </c>
      <c r="D53" s="3">
        <v>2463.1410000000001</v>
      </c>
      <c r="E53" s="3">
        <v>2044.164</v>
      </c>
      <c r="F53" s="4">
        <v>0.14444532213069461</v>
      </c>
      <c r="G53" s="3">
        <v>16033.568973597879</v>
      </c>
    </row>
    <row r="54" spans="1:7" x14ac:dyDescent="0.3">
      <c r="A54" s="2">
        <v>2012</v>
      </c>
      <c r="B54" s="3">
        <v>17442.758999999998</v>
      </c>
      <c r="C54" s="3">
        <v>154974</v>
      </c>
      <c r="D54" s="3">
        <v>2735.2689999999998</v>
      </c>
      <c r="E54" s="3">
        <v>2126.3020000000001</v>
      </c>
      <c r="F54" s="4">
        <v>0.15681401090274771</v>
      </c>
      <c r="G54" s="3">
        <v>17649.857395434072</v>
      </c>
    </row>
    <row r="55" spans="1:7" x14ac:dyDescent="0.3">
      <c r="A55" s="2">
        <v>2013</v>
      </c>
      <c r="B55" s="3">
        <v>17812.167000000001</v>
      </c>
      <c r="C55" s="3">
        <v>155398</v>
      </c>
      <c r="D55" s="3">
        <v>2938.6660000000002</v>
      </c>
      <c r="E55" s="3">
        <v>2190.3110000000001</v>
      </c>
      <c r="F55" s="4">
        <v>0.16498082462397751</v>
      </c>
      <c r="G55" s="3">
        <v>18910.577999716861</v>
      </c>
    </row>
    <row r="56" spans="1:7" x14ac:dyDescent="0.3">
      <c r="A56" s="2">
        <v>2014</v>
      </c>
      <c r="B56" s="3">
        <v>18261.714</v>
      </c>
      <c r="C56" s="3">
        <v>155920</v>
      </c>
      <c r="D56" s="3">
        <v>3128.9929999999999</v>
      </c>
      <c r="E56" s="3">
        <v>2275.7840000000001</v>
      </c>
      <c r="F56" s="4">
        <v>0.17134169333721899</v>
      </c>
      <c r="G56" s="3">
        <v>20067.938686505899</v>
      </c>
    </row>
    <row r="57" spans="1:7" x14ac:dyDescent="0.3">
      <c r="A57" s="2">
        <v>2015</v>
      </c>
      <c r="B57" s="3">
        <v>18799.621999999999</v>
      </c>
      <c r="C57" s="3">
        <v>157138</v>
      </c>
      <c r="D57" s="3">
        <v>3323.3870000000002</v>
      </c>
      <c r="E57" s="3">
        <v>2283.058</v>
      </c>
      <c r="F57" s="4">
        <v>0.17677945865081759</v>
      </c>
      <c r="G57" s="3">
        <v>21149.480074838681</v>
      </c>
    </row>
    <row r="58" spans="1:7" x14ac:dyDescent="0.3">
      <c r="A58" s="2">
        <v>2016</v>
      </c>
      <c r="B58" s="3">
        <v>19141.671999999999</v>
      </c>
      <c r="C58" s="3">
        <v>159188</v>
      </c>
      <c r="D58" s="3">
        <v>3320.2379999999998</v>
      </c>
      <c r="E58" s="3">
        <v>2293.8809999999999</v>
      </c>
      <c r="F58" s="4">
        <v>0.17345600739580119</v>
      </c>
      <c r="G58" s="3">
        <v>20857.338492851221</v>
      </c>
    </row>
    <row r="59" spans="1:7" x14ac:dyDescent="0.3">
      <c r="A59" s="2">
        <v>2017</v>
      </c>
      <c r="B59" s="3">
        <v>19612.102999999999</v>
      </c>
      <c r="C59" s="3">
        <v>160319</v>
      </c>
      <c r="D59" s="3">
        <v>3467.6640000000002</v>
      </c>
      <c r="E59" s="3">
        <v>2388.2600000000002</v>
      </c>
      <c r="F59" s="4">
        <v>0.17681245096459061</v>
      </c>
      <c r="G59" s="3">
        <v>21629.77563482806</v>
      </c>
    </row>
    <row r="60" spans="1:7" x14ac:dyDescent="0.3">
      <c r="A60" s="2">
        <v>2018</v>
      </c>
      <c r="B60" s="3">
        <v>20193.895</v>
      </c>
      <c r="C60" s="3">
        <v>162078</v>
      </c>
      <c r="D60" s="3">
        <v>3668.0810000000001</v>
      </c>
      <c r="E60" s="3">
        <v>2456.4229999999998</v>
      </c>
      <c r="F60" s="4">
        <v>0.18164306588699211</v>
      </c>
      <c r="G60" s="3">
        <v>22631.578622638481</v>
      </c>
    </row>
    <row r="61" spans="1:7" x14ac:dyDescent="0.3">
      <c r="A61" s="2">
        <v>2019</v>
      </c>
      <c r="B61" s="3">
        <v>20715.671999999999</v>
      </c>
      <c r="C61" s="3">
        <v>163537</v>
      </c>
      <c r="D61" s="3">
        <v>3783.9879999999998</v>
      </c>
      <c r="E61" s="3">
        <v>2469.5349999999999</v>
      </c>
      <c r="F61" s="4">
        <v>0.18266305819091941</v>
      </c>
      <c r="G61" s="3">
        <v>23138.421274696251</v>
      </c>
    </row>
    <row r="62" spans="1:7" x14ac:dyDescent="0.3">
      <c r="A62" s="2">
        <v>2020</v>
      </c>
      <c r="B62" s="3">
        <v>20284.5</v>
      </c>
      <c r="C62" s="3">
        <v>160763</v>
      </c>
      <c r="D62" s="3">
        <v>3618.5590000000002</v>
      </c>
      <c r="E62" s="3">
        <v>2157.8110000000001</v>
      </c>
      <c r="F62" s="4">
        <v>0.178390347309522</v>
      </c>
      <c r="G62" s="3">
        <v>22508.65559861411</v>
      </c>
    </row>
    <row r="63" spans="1:7" x14ac:dyDescent="0.3">
      <c r="A63" s="2">
        <v>2021</v>
      </c>
      <c r="B63" s="3">
        <v>21532.406999999999</v>
      </c>
      <c r="C63" s="3">
        <v>161212</v>
      </c>
      <c r="D63" s="3">
        <v>3944.3580000000002</v>
      </c>
      <c r="E63" s="3">
        <v>2297.1689999999999</v>
      </c>
      <c r="F63" s="4">
        <v>0.183182400369824</v>
      </c>
      <c r="G63" s="3">
        <v>24466.900726993019</v>
      </c>
    </row>
    <row r="64" spans="1:7" x14ac:dyDescent="0.3">
      <c r="A64" s="2">
        <v>2022</v>
      </c>
      <c r="B64" s="3">
        <v>22075.931</v>
      </c>
      <c r="C64" s="3">
        <v>164286</v>
      </c>
      <c r="D64" s="3">
        <v>4184.9110000000001</v>
      </c>
      <c r="E64" s="3">
        <v>2472.0610000000001</v>
      </c>
      <c r="F64" s="4">
        <v>0.18956894728471471</v>
      </c>
      <c r="G64" s="3">
        <v>25473.327002909558</v>
      </c>
    </row>
    <row r="65" spans="1:7" x14ac:dyDescent="0.3">
      <c r="A65" s="2">
        <v>2023</v>
      </c>
      <c r="B65" s="3">
        <v>22723.719000000001</v>
      </c>
      <c r="C65" s="3">
        <v>167118</v>
      </c>
      <c r="D65" s="3">
        <v>4219.4979999999996</v>
      </c>
      <c r="E65" s="3">
        <v>2541.04</v>
      </c>
      <c r="F65" s="4">
        <v>0.1856869467537422</v>
      </c>
      <c r="G65" s="3">
        <v>25248.614751253601</v>
      </c>
    </row>
    <row r="66" spans="1:7" x14ac:dyDescent="0.3">
      <c r="A66" s="2">
        <v>2024</v>
      </c>
      <c r="B66" s="3">
        <v>23358.435000000001</v>
      </c>
      <c r="C66" s="3">
        <v>168110</v>
      </c>
      <c r="D66" s="3">
        <v>4346.4939999999997</v>
      </c>
      <c r="E66" s="3">
        <v>2633.598</v>
      </c>
      <c r="F66" s="4">
        <v>0.18607813408732221</v>
      </c>
      <c r="G66" s="3">
        <v>25855.0591874368</v>
      </c>
    </row>
    <row r="67" spans="1:7" x14ac:dyDescent="0.3">
      <c r="A67" s="2">
        <v>2025</v>
      </c>
      <c r="B67" s="3"/>
      <c r="C67" s="3"/>
      <c r="D67" s="3"/>
      <c r="E67" s="3"/>
      <c r="F67" s="4"/>
      <c r="G6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/>
  </sheetViews>
  <sheetFormatPr defaultRowHeight="14.4" x14ac:dyDescent="0.3"/>
  <cols>
    <col min="1" max="1" width="8.6640625" customWidth="1"/>
    <col min="2" max="3" width="22.6640625" customWidth="1"/>
  </cols>
  <sheetData>
    <row r="1" spans="1:3" x14ac:dyDescent="0.3">
      <c r="A1" s="1" t="s">
        <v>0</v>
      </c>
      <c r="B1" s="1" t="s">
        <v>7</v>
      </c>
      <c r="C1" s="1" t="s">
        <v>8</v>
      </c>
    </row>
    <row r="2" spans="1:3" x14ac:dyDescent="0.3">
      <c r="A2" s="2">
        <v>1960</v>
      </c>
      <c r="B2" s="4">
        <v>0.10499381048278229</v>
      </c>
      <c r="C2" s="3">
        <v>5275.8006861999174</v>
      </c>
    </row>
    <row r="3" spans="1:3" x14ac:dyDescent="0.3">
      <c r="A3" s="2">
        <v>1961</v>
      </c>
      <c r="B3" s="4">
        <v>0.1026953264926049</v>
      </c>
      <c r="C3" s="3">
        <v>5233.2576295244853</v>
      </c>
    </row>
    <row r="4" spans="1:3" x14ac:dyDescent="0.3">
      <c r="A4" s="2">
        <v>1962</v>
      </c>
      <c r="B4" s="4">
        <v>0.1082655336848705</v>
      </c>
      <c r="C4" s="3">
        <v>5841.2750109743838</v>
      </c>
    </row>
    <row r="5" spans="1:3" x14ac:dyDescent="0.3">
      <c r="A5" s="2">
        <v>1963</v>
      </c>
      <c r="B5" s="4">
        <v>0.1107875422960246</v>
      </c>
      <c r="C5" s="3">
        <v>6134.1697766390016</v>
      </c>
    </row>
    <row r="6" spans="1:3" x14ac:dyDescent="0.3">
      <c r="A6" s="2">
        <v>1964</v>
      </c>
      <c r="B6" s="4">
        <v>0.11301300722877471</v>
      </c>
      <c r="C6" s="3">
        <v>6503.4278911285364</v>
      </c>
    </row>
    <row r="7" spans="1:3" x14ac:dyDescent="0.3">
      <c r="A7" s="2">
        <v>1965</v>
      </c>
      <c r="B7" s="4">
        <v>0.1208036967280741</v>
      </c>
      <c r="C7" s="3">
        <v>7269.5098355369228</v>
      </c>
    </row>
    <row r="8" spans="1:3" x14ac:dyDescent="0.3">
      <c r="A8" s="2">
        <v>1966</v>
      </c>
      <c r="B8" s="4">
        <v>0.1235068123104419</v>
      </c>
      <c r="C8" s="3">
        <v>7784.1837745065677</v>
      </c>
    </row>
    <row r="9" spans="1:3" x14ac:dyDescent="0.3">
      <c r="A9" s="2">
        <v>1967</v>
      </c>
      <c r="B9" s="4">
        <v>0.1160042357953248</v>
      </c>
      <c r="C9" s="3">
        <v>7356.1695195738739</v>
      </c>
    </row>
    <row r="10" spans="1:3" x14ac:dyDescent="0.3">
      <c r="A10" s="2">
        <v>1968</v>
      </c>
      <c r="B10" s="4">
        <v>0.1171793776576911</v>
      </c>
      <c r="C10" s="3">
        <v>7660.9706517596242</v>
      </c>
    </row>
    <row r="11" spans="1:3" x14ac:dyDescent="0.3">
      <c r="A11" s="2">
        <v>1969</v>
      </c>
      <c r="B11" s="4">
        <v>0.1199601627785802</v>
      </c>
      <c r="C11" s="3">
        <v>7887.7392974412987</v>
      </c>
    </row>
    <row r="12" spans="1:3" x14ac:dyDescent="0.3">
      <c r="A12" s="2">
        <v>1970</v>
      </c>
      <c r="B12" s="4">
        <v>0.1124589970903194</v>
      </c>
      <c r="C12" s="3">
        <v>7221.0734818107157</v>
      </c>
    </row>
    <row r="13" spans="1:3" x14ac:dyDescent="0.3">
      <c r="A13" s="2">
        <v>1971</v>
      </c>
      <c r="B13" s="4">
        <v>0.1200936875278388</v>
      </c>
      <c r="C13" s="3">
        <v>7816.0614392718307</v>
      </c>
    </row>
    <row r="14" spans="1:3" x14ac:dyDescent="0.3">
      <c r="A14" s="2">
        <v>1972</v>
      </c>
      <c r="B14" s="4">
        <v>0.12694981079741899</v>
      </c>
      <c r="C14" s="3">
        <v>8433.1406373906739</v>
      </c>
    </row>
    <row r="15" spans="1:3" x14ac:dyDescent="0.3">
      <c r="A15" s="2">
        <v>1973</v>
      </c>
      <c r="B15" s="4">
        <v>0.1333142057696789</v>
      </c>
      <c r="C15" s="3">
        <v>9104.7633960027288</v>
      </c>
    </row>
    <row r="16" spans="1:3" x14ac:dyDescent="0.3">
      <c r="A16" s="2">
        <v>1974</v>
      </c>
      <c r="B16" s="4">
        <v>0.12516162791520941</v>
      </c>
      <c r="C16" s="3">
        <v>8264.6777420196577</v>
      </c>
    </row>
    <row r="17" spans="1:3" x14ac:dyDescent="0.3">
      <c r="A17" s="2">
        <v>1975</v>
      </c>
      <c r="B17" s="4">
        <v>0.10510248107740219</v>
      </c>
      <c r="C17" s="3">
        <v>6793.3560840354057</v>
      </c>
    </row>
    <row r="18" spans="1:3" x14ac:dyDescent="0.3">
      <c r="A18" s="2">
        <v>1976</v>
      </c>
      <c r="B18" s="4">
        <v>0.1187615627363526</v>
      </c>
      <c r="C18" s="3">
        <v>7889.4863287953322</v>
      </c>
    </row>
    <row r="19" spans="1:3" x14ac:dyDescent="0.3">
      <c r="A19" s="2">
        <v>1977</v>
      </c>
      <c r="B19" s="4">
        <v>0.12970661271726469</v>
      </c>
      <c r="C19" s="3">
        <v>8757.0112341388503</v>
      </c>
    </row>
    <row r="20" spans="1:3" x14ac:dyDescent="0.3">
      <c r="A20" s="2">
        <v>1978</v>
      </c>
      <c r="B20" s="4">
        <v>0.1371204633225436</v>
      </c>
      <c r="C20" s="3">
        <v>9459.4798157150817</v>
      </c>
    </row>
    <row r="21" spans="1:3" x14ac:dyDescent="0.3">
      <c r="A21" s="2">
        <v>1979</v>
      </c>
      <c r="B21" s="4">
        <v>0.13757093699435641</v>
      </c>
      <c r="C21" s="3">
        <v>9536.5516715732501</v>
      </c>
    </row>
    <row r="22" spans="1:3" x14ac:dyDescent="0.3">
      <c r="A22" s="2">
        <v>1980</v>
      </c>
      <c r="B22" s="4">
        <v>0.1240472202054837</v>
      </c>
      <c r="C22" s="3">
        <v>8415.5963131228145</v>
      </c>
    </row>
    <row r="23" spans="1:3" x14ac:dyDescent="0.3">
      <c r="A23" s="2">
        <v>1981</v>
      </c>
      <c r="B23" s="4">
        <v>0.131625609673338</v>
      </c>
      <c r="C23" s="3">
        <v>9012.9375391070698</v>
      </c>
    </row>
    <row r="24" spans="1:3" x14ac:dyDescent="0.3">
      <c r="A24" s="2">
        <v>1982</v>
      </c>
      <c r="B24" s="4">
        <v>0.1172055833374616</v>
      </c>
      <c r="C24" s="3">
        <v>7768.7493196908672</v>
      </c>
    </row>
    <row r="25" spans="1:3" x14ac:dyDescent="0.3">
      <c r="A25" s="2">
        <v>1983</v>
      </c>
      <c r="B25" s="4">
        <v>0.1225280564691153</v>
      </c>
      <c r="C25" s="3">
        <v>8397.0048872349016</v>
      </c>
    </row>
    <row r="26" spans="1:3" x14ac:dyDescent="0.3">
      <c r="A26" s="2">
        <v>1984</v>
      </c>
      <c r="B26" s="4">
        <v>0.14544247644532621</v>
      </c>
      <c r="C26" s="3">
        <v>10498.7492513124</v>
      </c>
    </row>
    <row r="27" spans="1:3" x14ac:dyDescent="0.3">
      <c r="A27" s="2">
        <v>1985</v>
      </c>
      <c r="B27" s="4">
        <v>0.13953197163782519</v>
      </c>
      <c r="C27" s="3">
        <v>10316.237539729969</v>
      </c>
    </row>
    <row r="28" spans="1:3" x14ac:dyDescent="0.3">
      <c r="A28" s="2">
        <v>1986</v>
      </c>
      <c r="B28" s="4">
        <v>0.13507534748218841</v>
      </c>
      <c r="C28" s="3">
        <v>10123.958386368649</v>
      </c>
    </row>
    <row r="29" spans="1:3" x14ac:dyDescent="0.3">
      <c r="A29" s="2">
        <v>1987</v>
      </c>
      <c r="B29" s="4">
        <v>0.13427514118636491</v>
      </c>
      <c r="C29" s="3">
        <v>10237.3073681927</v>
      </c>
    </row>
    <row r="30" spans="1:3" x14ac:dyDescent="0.3">
      <c r="A30" s="2">
        <v>1988</v>
      </c>
      <c r="B30" s="4">
        <v>0.13207128958497191</v>
      </c>
      <c r="C30" s="3">
        <v>10333.13608008482</v>
      </c>
    </row>
    <row r="31" spans="1:3" x14ac:dyDescent="0.3">
      <c r="A31" s="2">
        <v>1989</v>
      </c>
      <c r="B31" s="4">
        <v>0.13254631698865629</v>
      </c>
      <c r="C31" s="3">
        <v>10561.884845499841</v>
      </c>
    </row>
    <row r="32" spans="1:3" x14ac:dyDescent="0.3">
      <c r="A32" s="2">
        <v>1990</v>
      </c>
      <c r="B32" s="4">
        <v>0.1267358181083505</v>
      </c>
      <c r="C32" s="3">
        <v>10125.340664404839</v>
      </c>
    </row>
    <row r="33" spans="1:3" x14ac:dyDescent="0.3">
      <c r="A33" s="2">
        <v>1991</v>
      </c>
      <c r="B33" s="4">
        <v>0.11847837536306891</v>
      </c>
      <c r="C33" s="3">
        <v>9418.3313283525404</v>
      </c>
    </row>
    <row r="34" spans="1:3" x14ac:dyDescent="0.3">
      <c r="A34" s="2">
        <v>1992</v>
      </c>
      <c r="B34" s="4">
        <v>0.1227862427229116</v>
      </c>
      <c r="C34" s="3">
        <v>9966.7991163084807</v>
      </c>
    </row>
    <row r="35" spans="1:3" x14ac:dyDescent="0.3">
      <c r="A35" s="2">
        <v>1993</v>
      </c>
      <c r="B35" s="4">
        <v>0.12905240543049681</v>
      </c>
      <c r="C35" s="3">
        <v>10673.212834307389</v>
      </c>
    </row>
    <row r="36" spans="1:3" x14ac:dyDescent="0.3">
      <c r="A36" s="2">
        <v>1994</v>
      </c>
      <c r="B36" s="4">
        <v>0.13872632560677139</v>
      </c>
      <c r="C36" s="3">
        <v>11765.961830488301</v>
      </c>
    </row>
    <row r="37" spans="1:3" x14ac:dyDescent="0.3">
      <c r="A37" s="2">
        <v>1995</v>
      </c>
      <c r="B37" s="4">
        <v>0.13943418266799329</v>
      </c>
      <c r="C37" s="3">
        <v>12027.08687601557</v>
      </c>
    </row>
    <row r="38" spans="1:3" x14ac:dyDescent="0.3">
      <c r="A38" s="2">
        <v>1996</v>
      </c>
      <c r="B38" s="4">
        <v>0.14611056993739821</v>
      </c>
      <c r="C38" s="3">
        <v>12918.7165456025</v>
      </c>
    </row>
    <row r="39" spans="1:3" x14ac:dyDescent="0.3">
      <c r="A39" s="2">
        <v>1997</v>
      </c>
      <c r="B39" s="4">
        <v>0.15584351228345311</v>
      </c>
      <c r="C39" s="3">
        <v>14143.9241091408</v>
      </c>
    </row>
    <row r="40" spans="1:3" x14ac:dyDescent="0.3">
      <c r="A40" s="2">
        <v>1998</v>
      </c>
      <c r="B40" s="4">
        <v>0.16336543576897761</v>
      </c>
      <c r="C40" s="3">
        <v>15336.127251597911</v>
      </c>
    </row>
    <row r="41" spans="1:3" x14ac:dyDescent="0.3">
      <c r="A41" s="2">
        <v>1999</v>
      </c>
      <c r="B41" s="4">
        <v>0.1691309970175226</v>
      </c>
      <c r="C41" s="3">
        <v>16434.725211651599</v>
      </c>
    </row>
    <row r="42" spans="1:3" x14ac:dyDescent="0.3">
      <c r="A42" s="2">
        <v>2000</v>
      </c>
      <c r="B42" s="4">
        <v>0.1734465292469165</v>
      </c>
      <c r="C42" s="3">
        <v>17146.900817752088</v>
      </c>
    </row>
    <row r="43" spans="1:3" x14ac:dyDescent="0.3">
      <c r="A43" s="2">
        <v>2001</v>
      </c>
      <c r="B43" s="4">
        <v>0.16214183310113631</v>
      </c>
      <c r="C43" s="3">
        <v>16049.329132149491</v>
      </c>
    </row>
    <row r="44" spans="1:3" x14ac:dyDescent="0.3">
      <c r="A44" s="2">
        <v>2002</v>
      </c>
      <c r="B44" s="4">
        <v>0.15806885399225801</v>
      </c>
      <c r="C44" s="3">
        <v>15792.821836858669</v>
      </c>
    </row>
    <row r="45" spans="1:3" x14ac:dyDescent="0.3">
      <c r="A45" s="2">
        <v>2003</v>
      </c>
      <c r="B45" s="4">
        <v>0.16040403263680739</v>
      </c>
      <c r="C45" s="3">
        <v>16289.290102389081</v>
      </c>
    </row>
    <row r="46" spans="1:3" x14ac:dyDescent="0.3">
      <c r="A46" s="2">
        <v>2004</v>
      </c>
      <c r="B46" s="4">
        <v>0.16873883518038499</v>
      </c>
      <c r="C46" s="3">
        <v>17688.790880716511</v>
      </c>
    </row>
    <row r="47" spans="1:3" x14ac:dyDescent="0.3">
      <c r="A47" s="2">
        <v>2005</v>
      </c>
      <c r="B47" s="4">
        <v>0.17402072234615579</v>
      </c>
      <c r="C47" s="3">
        <v>18636.577376765868</v>
      </c>
    </row>
    <row r="48" spans="1:3" x14ac:dyDescent="0.3">
      <c r="A48" s="2">
        <v>2006</v>
      </c>
      <c r="B48" s="4">
        <v>0.1745193921456801</v>
      </c>
      <c r="C48" s="3">
        <v>18941.430165974281</v>
      </c>
    </row>
    <row r="49" spans="1:3" x14ac:dyDescent="0.3">
      <c r="A49" s="2">
        <v>2007</v>
      </c>
      <c r="B49" s="4">
        <v>0.16680280431626751</v>
      </c>
      <c r="C49" s="3">
        <v>18259.980538521319</v>
      </c>
    </row>
    <row r="50" spans="1:3" x14ac:dyDescent="0.3">
      <c r="A50" s="2">
        <v>2008</v>
      </c>
      <c r="B50" s="4">
        <v>0.15280292536685519</v>
      </c>
      <c r="C50" s="3">
        <v>16616.29579709957</v>
      </c>
    </row>
    <row r="51" spans="1:3" x14ac:dyDescent="0.3">
      <c r="A51" s="2">
        <v>2009</v>
      </c>
      <c r="B51" s="4">
        <v>0.1238776836245102</v>
      </c>
      <c r="C51" s="3">
        <v>13135.11339978857</v>
      </c>
    </row>
    <row r="52" spans="1:3" x14ac:dyDescent="0.3">
      <c r="A52" s="2">
        <v>2010</v>
      </c>
      <c r="B52" s="4">
        <v>0.13752693533096469</v>
      </c>
      <c r="C52" s="3">
        <v>15004.990739838189</v>
      </c>
    </row>
    <row r="53" spans="1:3" x14ac:dyDescent="0.3">
      <c r="A53" s="2">
        <v>2011</v>
      </c>
      <c r="B53" s="4">
        <v>0.14444532213069461</v>
      </c>
      <c r="C53" s="3">
        <v>16033.568973597879</v>
      </c>
    </row>
    <row r="54" spans="1:3" x14ac:dyDescent="0.3">
      <c r="A54" s="2">
        <v>2012</v>
      </c>
      <c r="B54" s="4">
        <v>0.15681401090274771</v>
      </c>
      <c r="C54" s="3">
        <v>17649.857395434072</v>
      </c>
    </row>
    <row r="55" spans="1:3" x14ac:dyDescent="0.3">
      <c r="A55" s="2">
        <v>2013</v>
      </c>
      <c r="B55" s="4">
        <v>0.16498082462397751</v>
      </c>
      <c r="C55" s="3">
        <v>18910.577999716861</v>
      </c>
    </row>
    <row r="56" spans="1:3" x14ac:dyDescent="0.3">
      <c r="A56" s="2">
        <v>2014</v>
      </c>
      <c r="B56" s="4">
        <v>0.17134169333721899</v>
      </c>
      <c r="C56" s="3">
        <v>20067.938686505899</v>
      </c>
    </row>
    <row r="57" spans="1:3" x14ac:dyDescent="0.3">
      <c r="A57" s="2">
        <v>2015</v>
      </c>
      <c r="B57" s="4">
        <v>0.17677945865081759</v>
      </c>
      <c r="C57" s="3">
        <v>21149.480074838681</v>
      </c>
    </row>
    <row r="58" spans="1:3" x14ac:dyDescent="0.3">
      <c r="A58" s="2">
        <v>2016</v>
      </c>
      <c r="B58" s="4">
        <v>0.17345600739580119</v>
      </c>
      <c r="C58" s="3">
        <v>20857.338492851221</v>
      </c>
    </row>
    <row r="59" spans="1:3" x14ac:dyDescent="0.3">
      <c r="A59" s="2">
        <v>2017</v>
      </c>
      <c r="B59" s="4">
        <v>0.17681245096459061</v>
      </c>
      <c r="C59" s="3">
        <v>21629.77563482806</v>
      </c>
    </row>
    <row r="60" spans="1:3" x14ac:dyDescent="0.3">
      <c r="A60" s="2">
        <v>2018</v>
      </c>
      <c r="B60" s="4">
        <v>0.18164306588699211</v>
      </c>
      <c r="C60" s="3">
        <v>22631.578622638481</v>
      </c>
    </row>
    <row r="61" spans="1:3" x14ac:dyDescent="0.3">
      <c r="A61" s="2">
        <v>2019</v>
      </c>
      <c r="B61" s="4">
        <v>0.18266305819091941</v>
      </c>
      <c r="C61" s="3">
        <v>23138.421274696251</v>
      </c>
    </row>
    <row r="62" spans="1:3" x14ac:dyDescent="0.3">
      <c r="A62" s="2">
        <v>2020</v>
      </c>
      <c r="B62" s="4">
        <v>0.178390347309522</v>
      </c>
      <c r="C62" s="3">
        <v>22508.65559861411</v>
      </c>
    </row>
    <row r="63" spans="1:3" x14ac:dyDescent="0.3">
      <c r="A63" s="2">
        <v>2021</v>
      </c>
      <c r="B63" s="4">
        <v>0.183182400369824</v>
      </c>
      <c r="C63" s="3">
        <v>24466.900726993019</v>
      </c>
    </row>
    <row r="64" spans="1:3" x14ac:dyDescent="0.3">
      <c r="A64" s="2">
        <v>2022</v>
      </c>
      <c r="B64" s="4">
        <v>0.18956894728471471</v>
      </c>
      <c r="C64" s="3">
        <v>25473.327002909558</v>
      </c>
    </row>
    <row r="65" spans="1:3" x14ac:dyDescent="0.3">
      <c r="A65" s="2">
        <v>2023</v>
      </c>
      <c r="B65" s="4">
        <v>0.1856869467537422</v>
      </c>
      <c r="C65" s="3">
        <v>25248.614751253601</v>
      </c>
    </row>
    <row r="66" spans="1:3" x14ac:dyDescent="0.3">
      <c r="A66" s="2">
        <v>2024</v>
      </c>
      <c r="B66" s="4">
        <v>0.18607813408732221</v>
      </c>
      <c r="C66" s="3">
        <v>25855.0591874368</v>
      </c>
    </row>
    <row r="67" spans="1:3" x14ac:dyDescent="0.3">
      <c r="A67" s="2">
        <v>2025</v>
      </c>
      <c r="B67" s="4" t="e">
        <f>#NUM!</f>
        <v>#NUM!</v>
      </c>
      <c r="C67" s="3" t="e">
        <f>#NUM!</f>
        <v>#NUM!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7"/>
  <sheetViews>
    <sheetView workbookViewId="0"/>
  </sheetViews>
  <sheetFormatPr defaultRowHeight="14.4" x14ac:dyDescent="0.3"/>
  <cols>
    <col min="1" max="2" width="22.6640625" customWidth="1"/>
  </cols>
  <sheetData>
    <row r="1" spans="1:2" x14ac:dyDescent="0.3">
      <c r="A1" s="1" t="s">
        <v>8</v>
      </c>
      <c r="B1" s="1" t="s">
        <v>9</v>
      </c>
    </row>
    <row r="2" spans="1:2" x14ac:dyDescent="0.3">
      <c r="A2" s="3">
        <v>5275.8006861999174</v>
      </c>
      <c r="B2" s="3">
        <v>108.258</v>
      </c>
    </row>
    <row r="3" spans="1:2" x14ac:dyDescent="0.3">
      <c r="A3" s="3">
        <v>5233.2576295244853</v>
      </c>
      <c r="B3" s="3">
        <v>108.84</v>
      </c>
    </row>
    <row r="4" spans="1:2" x14ac:dyDescent="0.3">
      <c r="A4" s="3">
        <v>5841.2750109743838</v>
      </c>
      <c r="B4" s="3">
        <v>114.334</v>
      </c>
    </row>
    <row r="5" spans="1:2" x14ac:dyDescent="0.3">
      <c r="A5" s="3">
        <v>6134.1697766390016</v>
      </c>
      <c r="B5" s="3">
        <v>122.47499999999999</v>
      </c>
    </row>
    <row r="6" spans="1:2" x14ac:dyDescent="0.3">
      <c r="A6" s="3">
        <v>6503.4278911285364</v>
      </c>
      <c r="B6" s="3">
        <v>136.928</v>
      </c>
    </row>
    <row r="7" spans="1:2" x14ac:dyDescent="0.3">
      <c r="A7" s="3">
        <v>7269.5098355369228</v>
      </c>
      <c r="B7" s="3">
        <v>140.76300000000001</v>
      </c>
    </row>
    <row r="8" spans="1:2" x14ac:dyDescent="0.3">
      <c r="A8" s="3">
        <v>7784.1837745065677</v>
      </c>
      <c r="B8" s="3">
        <v>150.50200000000001</v>
      </c>
    </row>
    <row r="9" spans="1:2" x14ac:dyDescent="0.3">
      <c r="A9" s="3">
        <v>7356.1695195738739</v>
      </c>
      <c r="B9" s="3">
        <v>153.93299999999999</v>
      </c>
    </row>
    <row r="10" spans="1:2" x14ac:dyDescent="0.3">
      <c r="A10" s="3">
        <v>7660.9706517596242</v>
      </c>
      <c r="B10" s="3">
        <v>166.09800000000001</v>
      </c>
    </row>
    <row r="11" spans="1:2" x14ac:dyDescent="0.3">
      <c r="A11" s="3">
        <v>7887.7392974412987</v>
      </c>
      <c r="B11" s="3">
        <v>174.19900000000001</v>
      </c>
    </row>
    <row r="12" spans="1:2" x14ac:dyDescent="0.3">
      <c r="A12" s="3">
        <v>7221.0734818107157</v>
      </c>
      <c r="B12" s="3">
        <v>192.762</v>
      </c>
    </row>
    <row r="13" spans="1:2" x14ac:dyDescent="0.3">
      <c r="A13" s="3">
        <v>7816.0614392718307</v>
      </c>
      <c r="B13" s="3">
        <v>196.102</v>
      </c>
    </row>
    <row r="14" spans="1:2" x14ac:dyDescent="0.3">
      <c r="A14" s="3">
        <v>8433.1406373906739</v>
      </c>
      <c r="B14" s="3">
        <v>211.387</v>
      </c>
    </row>
    <row r="15" spans="1:2" x14ac:dyDescent="0.3">
      <c r="A15" s="3">
        <v>9104.7633960027288</v>
      </c>
      <c r="B15" s="3">
        <v>251.16800000000001</v>
      </c>
    </row>
    <row r="16" spans="1:2" x14ac:dyDescent="0.3">
      <c r="A16" s="3">
        <v>8264.6777420196577</v>
      </c>
      <c r="B16" s="3">
        <v>271.11700000000002</v>
      </c>
    </row>
    <row r="17" spans="1:2" x14ac:dyDescent="0.3">
      <c r="A17" s="3">
        <v>6793.3560840354057</v>
      </c>
      <c r="B17" s="3">
        <v>269.38099999999997</v>
      </c>
    </row>
    <row r="18" spans="1:2" x14ac:dyDescent="0.3">
      <c r="A18" s="3">
        <v>7889.4863287953322</v>
      </c>
      <c r="B18" s="3">
        <v>281.14400000000001</v>
      </c>
    </row>
    <row r="19" spans="1:2" x14ac:dyDescent="0.3">
      <c r="A19" s="3">
        <v>8757.0112341388503</v>
      </c>
      <c r="B19" s="3">
        <v>287.90100000000001</v>
      </c>
    </row>
    <row r="20" spans="1:2" x14ac:dyDescent="0.3">
      <c r="A20" s="3">
        <v>9459.4798157150817</v>
      </c>
      <c r="B20" s="3">
        <v>318.29000000000002</v>
      </c>
    </row>
    <row r="21" spans="1:2" x14ac:dyDescent="0.3">
      <c r="A21" s="3">
        <v>9536.5516715732501</v>
      </c>
      <c r="B21" s="3">
        <v>349.81</v>
      </c>
    </row>
    <row r="22" spans="1:2" x14ac:dyDescent="0.3">
      <c r="A22" s="3">
        <v>8415.5963131228145</v>
      </c>
      <c r="B22" s="3">
        <v>387.47500000000002</v>
      </c>
    </row>
    <row r="23" spans="1:2" x14ac:dyDescent="0.3">
      <c r="A23" s="3">
        <v>9012.9375391070698</v>
      </c>
      <c r="B23" s="3">
        <v>392.197</v>
      </c>
    </row>
    <row r="24" spans="1:2" x14ac:dyDescent="0.3">
      <c r="A24" s="3">
        <v>7768.7493196908672</v>
      </c>
      <c r="B24" s="3">
        <v>362.16699999999997</v>
      </c>
    </row>
    <row r="25" spans="1:2" x14ac:dyDescent="0.3">
      <c r="A25" s="3">
        <v>8397.0048872349016</v>
      </c>
      <c r="B25" s="3">
        <v>352.78199999999998</v>
      </c>
    </row>
    <row r="26" spans="1:2" x14ac:dyDescent="0.3">
      <c r="A26" s="3">
        <v>10498.7492513124</v>
      </c>
      <c r="B26" s="3">
        <v>381.54399999999998</v>
      </c>
    </row>
    <row r="27" spans="1:2" x14ac:dyDescent="0.3">
      <c r="A27" s="3">
        <v>10316.237539729969</v>
      </c>
      <c r="B27" s="3">
        <v>394.32799999999997</v>
      </c>
    </row>
    <row r="28" spans="1:2" x14ac:dyDescent="0.3">
      <c r="A28" s="3">
        <v>10123.958386368649</v>
      </c>
      <c r="B28" s="3">
        <v>424.54300000000001</v>
      </c>
    </row>
    <row r="29" spans="1:2" x14ac:dyDescent="0.3">
      <c r="A29" s="3">
        <v>10237.3073681927</v>
      </c>
      <c r="B29" s="3">
        <v>470.94</v>
      </c>
    </row>
    <row r="30" spans="1:2" x14ac:dyDescent="0.3">
      <c r="A30" s="3">
        <v>10333.13608008482</v>
      </c>
      <c r="B30" s="3">
        <v>547.29</v>
      </c>
    </row>
    <row r="31" spans="1:2" x14ac:dyDescent="0.3">
      <c r="A31" s="3">
        <v>10561.884845499841</v>
      </c>
      <c r="B31" s="3">
        <v>610.649</v>
      </c>
    </row>
    <row r="32" spans="1:2" x14ac:dyDescent="0.3">
      <c r="A32" s="3">
        <v>10125.340664404839</v>
      </c>
      <c r="B32" s="3">
        <v>664.52</v>
      </c>
    </row>
    <row r="33" spans="1:2" x14ac:dyDescent="0.3">
      <c r="A33" s="3">
        <v>9418.3313283525404</v>
      </c>
      <c r="B33" s="3">
        <v>708.47199999999998</v>
      </c>
    </row>
    <row r="34" spans="1:2" x14ac:dyDescent="0.3">
      <c r="A34" s="3">
        <v>9966.7991163084807</v>
      </c>
      <c r="B34" s="3">
        <v>757.55100000000004</v>
      </c>
    </row>
    <row r="35" spans="1:2" x14ac:dyDescent="0.3">
      <c r="A35" s="3">
        <v>10673.212834307389</v>
      </c>
      <c r="B35" s="3">
        <v>782.28200000000004</v>
      </c>
    </row>
    <row r="36" spans="1:2" x14ac:dyDescent="0.3">
      <c r="A36" s="3">
        <v>11765.961830488301</v>
      </c>
      <c r="B36" s="3">
        <v>851.40499999999997</v>
      </c>
    </row>
    <row r="37" spans="1:2" x14ac:dyDescent="0.3">
      <c r="A37" s="3">
        <v>12027.08687601557</v>
      </c>
      <c r="B37" s="3">
        <v>938.91499999999996</v>
      </c>
    </row>
    <row r="38" spans="1:2" x14ac:dyDescent="0.3">
      <c r="A38" s="3">
        <v>12918.7165456025</v>
      </c>
      <c r="B38" s="3">
        <v>1015.6849999999999</v>
      </c>
    </row>
    <row r="39" spans="1:2" x14ac:dyDescent="0.3">
      <c r="A39" s="3">
        <v>14143.9241091408</v>
      </c>
      <c r="B39" s="3">
        <v>1136.6489999999999</v>
      </c>
    </row>
    <row r="40" spans="1:2" x14ac:dyDescent="0.3">
      <c r="A40" s="3">
        <v>15336.127251597911</v>
      </c>
      <c r="B40" s="3">
        <v>1163.1980000000001</v>
      </c>
    </row>
    <row r="41" spans="1:2" x14ac:dyDescent="0.3">
      <c r="A41" s="3">
        <v>16434.725211651599</v>
      </c>
      <c r="B41" s="3">
        <v>1221.1220000000001</v>
      </c>
    </row>
    <row r="42" spans="1:2" x14ac:dyDescent="0.3">
      <c r="A42" s="3">
        <v>17146.900817752088</v>
      </c>
      <c r="B42" s="3">
        <v>1322.64</v>
      </c>
    </row>
    <row r="43" spans="1:2" x14ac:dyDescent="0.3">
      <c r="A43" s="3">
        <v>16049.329132149491</v>
      </c>
      <c r="B43" s="3">
        <v>1248.809</v>
      </c>
    </row>
    <row r="44" spans="1:2" x14ac:dyDescent="0.3">
      <c r="A44" s="3">
        <v>15792.821836858669</v>
      </c>
      <c r="B44" s="3">
        <v>1224.4110000000001</v>
      </c>
    </row>
    <row r="45" spans="1:2" x14ac:dyDescent="0.3">
      <c r="A45" s="3">
        <v>16289.290102389081</v>
      </c>
      <c r="B45" s="3">
        <v>1250.203</v>
      </c>
    </row>
    <row r="46" spans="1:2" x14ac:dyDescent="0.3">
      <c r="A46" s="3">
        <v>17688.790880716511</v>
      </c>
      <c r="B46" s="3">
        <v>1370.771</v>
      </c>
    </row>
    <row r="47" spans="1:2" x14ac:dyDescent="0.3">
      <c r="A47" s="3">
        <v>18636.577376765868</v>
      </c>
      <c r="B47" s="3">
        <v>1466.0050000000001</v>
      </c>
    </row>
    <row r="48" spans="1:2" x14ac:dyDescent="0.3">
      <c r="A48" s="3">
        <v>18941.430165974281</v>
      </c>
      <c r="B48" s="3">
        <v>1604.922</v>
      </c>
    </row>
    <row r="49" spans="1:2" x14ac:dyDescent="0.3">
      <c r="A49" s="3">
        <v>18259.980538521319</v>
      </c>
      <c r="B49" s="3">
        <v>1745.5350000000001</v>
      </c>
    </row>
    <row r="50" spans="1:2" x14ac:dyDescent="0.3">
      <c r="A50" s="3">
        <v>16616.29579709957</v>
      </c>
      <c r="B50" s="3">
        <v>1846.597</v>
      </c>
    </row>
    <row r="51" spans="1:2" x14ac:dyDescent="0.3">
      <c r="A51" s="3">
        <v>13135.11339978857</v>
      </c>
      <c r="B51" s="3">
        <v>1693.098</v>
      </c>
    </row>
    <row r="52" spans="1:2" x14ac:dyDescent="0.3">
      <c r="A52" s="3">
        <v>15004.990739838189</v>
      </c>
      <c r="B52" s="3">
        <v>1907.258</v>
      </c>
    </row>
    <row r="53" spans="1:2" x14ac:dyDescent="0.3">
      <c r="A53" s="3">
        <v>16033.568973597879</v>
      </c>
      <c r="B53" s="3">
        <v>2044.164</v>
      </c>
    </row>
    <row r="54" spans="1:2" x14ac:dyDescent="0.3">
      <c r="A54" s="3">
        <v>17649.857395434072</v>
      </c>
      <c r="B54" s="3">
        <v>2126.3020000000001</v>
      </c>
    </row>
    <row r="55" spans="1:2" x14ac:dyDescent="0.3">
      <c r="A55" s="3">
        <v>18910.577999716861</v>
      </c>
      <c r="B55" s="3">
        <v>2190.3110000000001</v>
      </c>
    </row>
    <row r="56" spans="1:2" x14ac:dyDescent="0.3">
      <c r="A56" s="3">
        <v>20067.938686505899</v>
      </c>
      <c r="B56" s="3">
        <v>2275.7840000000001</v>
      </c>
    </row>
    <row r="57" spans="1:2" x14ac:dyDescent="0.3">
      <c r="A57" s="3">
        <v>21149.480074838681</v>
      </c>
      <c r="B57" s="3">
        <v>2283.058</v>
      </c>
    </row>
    <row r="58" spans="1:2" x14ac:dyDescent="0.3">
      <c r="A58" s="3">
        <v>20857.338492851221</v>
      </c>
      <c r="B58" s="3">
        <v>2293.8809999999999</v>
      </c>
    </row>
    <row r="59" spans="1:2" x14ac:dyDescent="0.3">
      <c r="A59" s="3">
        <v>21629.77563482806</v>
      </c>
      <c r="B59" s="3">
        <v>2388.2600000000002</v>
      </c>
    </row>
    <row r="60" spans="1:2" x14ac:dyDescent="0.3">
      <c r="A60" s="3">
        <v>22631.578622638481</v>
      </c>
      <c r="B60" s="3">
        <v>2456.4229999999998</v>
      </c>
    </row>
    <row r="61" spans="1:2" x14ac:dyDescent="0.3">
      <c r="A61" s="3">
        <v>23138.421274696251</v>
      </c>
      <c r="B61" s="3">
        <v>2469.5349999999999</v>
      </c>
    </row>
    <row r="62" spans="1:2" x14ac:dyDescent="0.3">
      <c r="A62" s="3">
        <v>22508.65559861411</v>
      </c>
      <c r="B62" s="3">
        <v>2157.8110000000001</v>
      </c>
    </row>
    <row r="63" spans="1:2" x14ac:dyDescent="0.3">
      <c r="A63" s="3">
        <v>24466.900726993019</v>
      </c>
      <c r="B63" s="3">
        <v>2297.1689999999999</v>
      </c>
    </row>
    <row r="64" spans="1:2" x14ac:dyDescent="0.3">
      <c r="A64" s="3">
        <v>25473.327002909558</v>
      </c>
      <c r="B64" s="3">
        <v>2472.0610000000001</v>
      </c>
    </row>
    <row r="65" spans="1:2" x14ac:dyDescent="0.3">
      <c r="A65" s="3">
        <v>25248.614751253601</v>
      </c>
      <c r="B65" s="3">
        <v>2541.04</v>
      </c>
    </row>
    <row r="66" spans="1:2" x14ac:dyDescent="0.3">
      <c r="A66" s="3">
        <v>25855.0591874368</v>
      </c>
      <c r="B66" s="3">
        <v>2633.598</v>
      </c>
    </row>
    <row r="67" spans="1:2" x14ac:dyDescent="0.3">
      <c r="A67" s="3" t="e">
        <f>#NUM!</f>
        <v>#NUM!</v>
      </c>
      <c r="B67" s="3" t="e">
        <f>#NUM!</f>
        <v>#NUM!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/>
  </sheetViews>
  <sheetFormatPr defaultRowHeight="14.4" x14ac:dyDescent="0.3"/>
  <cols>
    <col min="1" max="1" width="25.6640625" customWidth="1"/>
    <col min="2" max="5" width="15.6640625" customWidth="1"/>
  </cols>
  <sheetData>
    <row r="1" spans="1:5" ht="18" x14ac:dyDescent="0.35">
      <c r="A1" s="5" t="s">
        <v>10</v>
      </c>
    </row>
    <row r="3" spans="1:5" x14ac:dyDescent="0.3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</row>
    <row r="4" spans="1:5" x14ac:dyDescent="0.3">
      <c r="A4" s="3" t="s">
        <v>7</v>
      </c>
      <c r="B4" s="3">
        <v>14.32562459153546</v>
      </c>
      <c r="C4" s="3">
        <v>2.5031423924110912</v>
      </c>
      <c r="D4" s="3">
        <v>10.269532649260491</v>
      </c>
      <c r="E4" s="3">
        <v>18.956894728471479</v>
      </c>
    </row>
    <row r="5" spans="1:5" x14ac:dyDescent="0.3">
      <c r="A5" s="3" t="s">
        <v>8</v>
      </c>
      <c r="B5" s="3">
        <v>13198.161667883391</v>
      </c>
      <c r="C5" s="3">
        <v>5863.9613969970997</v>
      </c>
      <c r="D5" s="3">
        <v>5233.2576295244853</v>
      </c>
      <c r="E5" s="3">
        <v>25855.0591874368</v>
      </c>
    </row>
    <row r="6" spans="1:5" x14ac:dyDescent="0.3">
      <c r="A6" s="3" t="s">
        <v>9</v>
      </c>
      <c r="B6" s="3">
        <v>1028.903876923077</v>
      </c>
      <c r="C6" s="3">
        <v>841.28324471981318</v>
      </c>
      <c r="D6" s="3">
        <v>108.258</v>
      </c>
      <c r="E6" s="3">
        <v>2633.598</v>
      </c>
    </row>
    <row r="7" spans="1:5" x14ac:dyDescent="0.3">
      <c r="A7" s="3" t="s">
        <v>16</v>
      </c>
      <c r="B7" s="3">
        <v>11619.81383076923</v>
      </c>
      <c r="C7" s="3">
        <v>5809.887357716425</v>
      </c>
      <c r="D7" s="3">
        <v>3500.2730000000001</v>
      </c>
      <c r="E7" s="3">
        <v>23358.435000000001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Dual-Axis Chart</vt:lpstr>
      <vt:lpstr>Regression Plot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mburu kiganya</cp:lastModifiedBy>
  <dcterms:created xsi:type="dcterms:W3CDTF">2026-02-05T09:06:53Z</dcterms:created>
  <dcterms:modified xsi:type="dcterms:W3CDTF">2026-02-06T05:05:34Z</dcterms:modified>
</cp:coreProperties>
</file>